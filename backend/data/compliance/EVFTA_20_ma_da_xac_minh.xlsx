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 ma da xac minh" sheetId="1" state="visible" r:id="rId3"/>
    <sheet name="3 nuoc DE-FR-NL" sheetId="2" state="visible" r:id="rId4"/>
    <sheet name="Tham so" sheetId="3" state="visible" r:id="rId5"/>
    <sheet name="RoO chung (Nghi dinh thu 1)" sheetId="4" state="visible" r:id="rId6"/>
    <sheet name="Ngu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<sst xmlns="http://schemas.openxmlformats.org/spreadsheetml/2006/main" count="390" uniqueCount="209">
  <si>
    <t xml:space="preserve">STT</t>
  </si>
  <si>
    <t xml:space="preserve">Nhóm</t>
  </si>
  <si>
    <t xml:space="preserve">Mã CN (biểu EVFTA)</t>
  </si>
  <si>
    <t xml:space="preserve">Mô tả</t>
  </si>
  <si>
    <t xml:space="preserve">Thuế cơ sở / MFN tham chiếu</t>
  </si>
  <si>
    <t xml:space="preserve">Nhóm lộ trình EVFTA</t>
  </si>
  <si>
    <t xml:space="preserve">Thuế EVFTA năm tính</t>
  </si>
  <si>
    <t xml:space="preserve">Tiết kiệm trên lô minh hoạ (EUR)</t>
  </si>
  <si>
    <t xml:space="preserve">Quy tắc xuất xứ – nguyên văn Annex II</t>
  </si>
  <si>
    <t xml:space="preserve">Diễn giải quy tắc</t>
  </si>
  <si>
    <t xml:space="preserve">Loại logic cho máy tính RoO</t>
  </si>
  <si>
    <t xml:space="preserve">Câu hỏi máy tính phải hỏi</t>
  </si>
  <si>
    <t xml:space="preserve">Thao tác KHÔNG tạo xuất xứ (Điều 6) liên quan</t>
  </si>
  <si>
    <t xml:space="preserve">Dung sai (Điều 5)</t>
  </si>
  <si>
    <t xml:space="preserve">Rủi ro xuất xứ thực tế (phân tích)</t>
  </si>
  <si>
    <t xml:space="preserve">Luật sư xác nhận</t>
  </si>
  <si>
    <t xml:space="preserve">Ghi chú</t>
  </si>
  <si>
    <t xml:space="preserve">Thuỷ sản</t>
  </si>
  <si>
    <t xml:space="preserve">03061792</t>
  </si>
  <si>
    <t xml:space="preserve">Tôm chi Penaeus đông lạnh</t>
  </si>
  <si>
    <t xml:space="preserve">A</t>
  </si>
  <si>
    <t xml:space="preserve">All fish and crustaceans, molluscs and other aquatic invertebrates are wholly obtained. (ex Chapter 3)</t>
  </si>
  <si>
    <t xml:space="preserve">Sản phẩm phải có xuất xứ thuần tuý: nuôi/đánh bắt tại VN hoặc bởi tàu đủ điều kiện</t>
  </si>
  <si>
    <t xml:space="preserve">Xuất xứ thuần tuý (có/không)</t>
  </si>
  <si>
    <t xml:space="preserve">1) Nguyên liệu nuôi tại VN (từ trứng/giống/ấu trùng) hay đánh bắt tại VN? 2) Có dùng nguyên liệu nhập khẩu không?</t>
  </si>
  <si>
    <t xml:space="preserve">Đông lạnh, bảo quản; phân loại; đóng gói đơn giản</t>
  </si>
  <si>
    <t xml:space="preserve">Không áp dụng nếu là sản phẩm có xuất xứ thuần tuý (Điều 5.5); với phi lê 0304 cần luật sư xác nhận Chương 3 thuộc Điều 5.3(a) hay (b)</t>
  </si>
  <si>
    <t xml:space="preserve">Tôm nuôi từ tôm giống nhập khẩu VẪN đạt (Điều 4.1(g): nuôi tại VN từ ấu trùng). Tôm nguyên liệu nhập khẩu để sơ chế KHÔNG đạt</t>
  </si>
  <si>
    <t xml:space="preserve">03061799</t>
  </si>
  <si>
    <t xml:space="preserve">Tôm loại khác, đông lạnh</t>
  </si>
  <si>
    <t xml:space="preserve">Như trên</t>
  </si>
  <si>
    <t xml:space="preserve">03046200</t>
  </si>
  <si>
    <t xml:space="preserve">Phi lê cá tra đông lạnh</t>
  </si>
  <si>
    <t xml:space="preserve">B3</t>
  </si>
  <si>
    <t xml:space="preserve">Manufacture in which all the materials of Chapter 3 used are wholly obtained. (0304)</t>
  </si>
  <si>
    <t xml:space="preserve">Mọi cá/nguyên liệu Chương 3 dùng để làm phi lê phải có xuất xứ thuần tuý</t>
  </si>
  <si>
    <t xml:space="preserve">Nguyên liệu xuất xứ thuần tuý (có/không)</t>
  </si>
  <si>
    <t xml:space="preserve">Thấp: cá tra nuôi trong nước</t>
  </si>
  <si>
    <t xml:space="preserve">Đối chiếu MFN hiện hành trên TARIC</t>
  </si>
  <si>
    <t xml:space="preserve">03043200</t>
  </si>
  <si>
    <t xml:space="preserve">Phi lê cá tra tươi/ướp lạnh</t>
  </si>
  <si>
    <t xml:space="preserve">Thấp</t>
  </si>
  <si>
    <t xml:space="preserve">03032400</t>
  </si>
  <si>
    <t xml:space="preserve">Cá tra/cá da trơn nguyên con đông lạnh</t>
  </si>
  <si>
    <t xml:space="preserve">03048700</t>
  </si>
  <si>
    <t xml:space="preserve">Phi lê cá ngừ đông lạnh</t>
  </si>
  <si>
    <t xml:space="preserve">Nguyên liệu xuất xứ thuần tuý + điều kiện tàu</t>
  </si>
  <si>
    <t xml:space="preserve">1) Tàu đánh bắt đăng ký &amp; mang cờ VN/EU? 2) Sở hữu ≥50% bởi công dân/pháp nhân VN/EU? 3) Có dùng cá nhập khẩu không?</t>
  </si>
  <si>
    <t xml:space="preserve">Cao: cá ngừ nhập khẩu hoặc do tàu không đủ điều kiện sở hữu/cờ (Điều 4.2) KHÔNG đạt</t>
  </si>
  <si>
    <t xml:space="preserve">Kèm yêu cầu IUU (giấy chứng nhận khai thác)</t>
  </si>
  <si>
    <t xml:space="preserve">03034290</t>
  </si>
  <si>
    <t xml:space="preserve">Cá ngừ vây vàng đông lạnh nguyên con (không dùng cho chế biến 1604)</t>
  </si>
  <si>
    <t xml:space="preserve">Xuất xứ thuần tuý + điều kiện tàu</t>
  </si>
  <si>
    <t xml:space="preserve">Cao (như trên)</t>
  </si>
  <si>
    <t xml:space="preserve">Kèm yêu cầu IUU</t>
  </si>
  <si>
    <t xml:space="preserve">03077100</t>
  </si>
  <si>
    <t xml:space="preserve">Nghêu, sò, điệp… sống/tươi/ướp lạnh</t>
  </si>
  <si>
    <t xml:space="preserve">Thấp nếu nuôi/khai thác tại VN</t>
  </si>
  <si>
    <t xml:space="preserve">Kiểm tra vùng nuôi được EU công nhận</t>
  </si>
  <si>
    <t xml:space="preserve">Rau, nấm</t>
  </si>
  <si>
    <t xml:space="preserve">07123200</t>
  </si>
  <si>
    <t xml:space="preserve">Mộc nhĩ (Auricularia) khô</t>
  </si>
  <si>
    <t xml:space="preserve">Manufacture in which all the materials of Chapter 7 used are wholly obtained. (Chapter 7)</t>
  </si>
  <si>
    <t xml:space="preserve">Mọi nguyên liệu Chương 7 phải có xuất xứ thuần tuý (trồng, thu hoạch tại VN/EU)</t>
  </si>
  <si>
    <t xml:space="preserve">Nguyên liệu xuất xứ thuần tuý (có/không, dung sai 10%)</t>
  </si>
  <si>
    <t xml:space="preserve">1) Nguyên liệu trồng tại VN? 2) Có nguyên liệu Chương 7 nhập khẩu không, tỷ trọng bao nhiêu?</t>
  </si>
  <si>
    <t xml:space="preserve">Bảo quản; làm sạch; cắt đơn giản; phân loại; đóng gói đơn giản; làm khô đơn giản</t>
  </si>
  <si>
    <t xml:space="preserve">Tối đa 10% trọng lượng hoặc giá xuất xưởng cho nguyên liệu không đạt (Điều 5.3(a)); không áp dụng cho sản phẩm xuất xứ thuần tuý</t>
  </si>
  <si>
    <t xml:space="preserve">Nhập nấm khô từ Trung Quốc rồi đóng gói lại KHÔNG đạt (vừa không thuần tuý, vừa là thao tác đơn giản)</t>
  </si>
  <si>
    <t xml:space="preserve">Trồng từ meo giống nhập vẫn đạt (Ghi chú 4.1 – cần luật sư xác nhận áp dụng cho nấm)</t>
  </si>
  <si>
    <t xml:space="preserve">07123900</t>
  </si>
  <si>
    <t xml:space="preserve">Nấm khô loại khác (nấm hương…)</t>
  </si>
  <si>
    <t xml:space="preserve">07108069</t>
  </si>
  <si>
    <t xml:space="preserve">Nấm đông lạnh loại khác</t>
  </si>
  <si>
    <t xml:space="preserve">Trung bình: kiểm soát nguồn nấm tươi</t>
  </si>
  <si>
    <t xml:space="preserve">07108095</t>
  </si>
  <si>
    <t xml:space="preserve">Rau đông lạnh loại khác (đậu bắp, rau muống…)</t>
  </si>
  <si>
    <t xml:space="preserve">07096099</t>
  </si>
  <si>
    <t xml:space="preserve">Ớt tươi (chi Capsicum/Pimenta) loại khác</t>
  </si>
  <si>
    <t xml:space="preserve">Kiểm tra diện kiểm soát dư lượng tăng cường</t>
  </si>
  <si>
    <t xml:space="preserve">Trái cây</t>
  </si>
  <si>
    <t xml:space="preserve">08106000</t>
  </si>
  <si>
    <t xml:space="preserve">Sầu riêng tươi</t>
  </si>
  <si>
    <t xml:space="preserve">Manufacture in which: all the fruit, nuts and peels of citrus fruits or melons of Chapter 8 used are wholly obtained; and the weight of sugar used does not exceed 20 % of the weight of the final product. (Chapter 8)</t>
  </si>
  <si>
    <t xml:space="preserve">Mọi quả, hạt Chương 8 phải có xuất xứ thuần tuý VÀ đường ≤ 20% trọng lượng thành phẩm</t>
  </si>
  <si>
    <t xml:space="preserve">Nguyên liệu thuần tuý + ngưỡng đường 20%</t>
  </si>
  <si>
    <t xml:space="preserve">1) Quả trồng tại VN? 2) Có quả nhập khẩu không? 3) Tỷ lệ đường thêm vào (% trọng lượng)?</t>
  </si>
  <si>
    <t xml:space="preserve">Bóc vỏ, bỏ hạt, tách vỏ quả/hạt; bảo quản; phân loại; đóng gói</t>
  </si>
  <si>
    <t xml:space="preserve">08109075</t>
  </si>
  <si>
    <t xml:space="preserve">Trái cây tươi loại khác (nhãn, chôm chôm…)</t>
  </si>
  <si>
    <t xml:space="preserve">Xác nhận phân loại từng loại quả</t>
  </si>
  <si>
    <t xml:space="preserve">08119085</t>
  </si>
  <si>
    <t xml:space="preserve">Trái cây nhiệt đới đông lạnh, không thêm đường</t>
  </si>
  <si>
    <t xml:space="preserve">Trung bình: nhà máy có thể trộn quả nhập khẩu</t>
  </si>
  <si>
    <t xml:space="preserve">08043000</t>
  </si>
  <si>
    <t xml:space="preserve">Dứa tươi hoặc khô</t>
  </si>
  <si>
    <t xml:space="preserve">08055090</t>
  </si>
  <si>
    <t xml:space="preserve">Chanh (limes) tươi hoặc khô</t>
  </si>
  <si>
    <t xml:space="preserve">Tham chiếu 0%</t>
  </si>
  <si>
    <t xml:space="preserve">08013200</t>
  </si>
  <si>
    <t xml:space="preserve">Hạt điều đã bóc vỏ</t>
  </si>
  <si>
    <t xml:space="preserve">Điều nhân từ điều thô nhập khẩu KHÔNG đạt (bóc vỏ là thao tác không đủ) – không ảnh hưởng thuế vì 0%</t>
  </si>
  <si>
    <t xml:space="preserve">Giữ để minh hoạ: kim ngạch lớn nhưng tiết kiệm bằng 0</t>
  </si>
  <si>
    <t xml:space="preserve">08109020</t>
  </si>
  <si>
    <t xml:space="preserve">Thanh long, vải, chanh leo, mít, khế… tươi</t>
  </si>
  <si>
    <t xml:space="preserve">Giá trị nằm ở kiểm dịch, không ở thuế</t>
  </si>
  <si>
    <t xml:space="preserve">Mức xác minh: Thuế cơ sở và nhóm lộ trình = biểu cam kết EU (Appendix 2-A-1, cột Base rate/Category). Quy tắc xuất xứ = nguyên văn Annex II Nghị định thư 1 EVFTA. Điều 4, 5, 6 = Nghị định thư 1.</t>
  </si>
  <si>
    <t xml:space="preserve">Thuế cơ sở là thuế CCT ngày 26/6/2012; dùng làm MFN tham chiếu. Trước khi go-live cần đối chiếu mức MFN hiện hành trên TARIC (cột E, chữ xanh).</t>
  </si>
  <si>
    <t xml:space="preserve">Mã CN theo danh mục 2012 của biểu cam kết; cần đối chiếu mã CN 2026 trước khi nạp vào hệ thống.</t>
  </si>
  <si>
    <t xml:space="preserve">Cột 'Diễn giải', 'Câu hỏi', 'Rủi ro' là phân tích của nhóm, không phải văn bản pháp lý – cần luật sư thương mại duyệt (cột vàng).</t>
  </si>
  <si>
    <t xml:space="preserve">Mã CN</t>
  </si>
  <si>
    <t xml:space="preserve">Thuế nhập khẩu EVFTA (giống nhau ở 27 nước)</t>
  </si>
  <si>
    <t xml:space="preserve">Quy tắc xuất xứ (giống nhau ở 27 nước)</t>
  </si>
  <si>
    <t xml:space="preserve">VAT DE</t>
  </si>
  <si>
    <t xml:space="preserve">VAT FR</t>
  </si>
  <si>
    <t xml:space="preserve">VAT NL</t>
  </si>
  <si>
    <t xml:space="preserve">VAT nhập khẩu DE – có C/O (EUR)</t>
  </si>
  <si>
    <t xml:space="preserve">VAT nhập khẩu FR – có C/O (EUR)</t>
  </si>
  <si>
    <t xml:space="preserve">VAT nhập khẩu NL – có C/O (EUR)</t>
  </si>
  <si>
    <t xml:space="preserve">Tổng thuế + VAT DE – KHÔNG có C/O (EUR)</t>
  </si>
  <si>
    <t xml:space="preserve">Tổng thuế + VAT FR – KHÔNG có C/O (EUR)</t>
  </si>
  <si>
    <t xml:space="preserve">Tổng thuế + VAT NL – KHÔNG có C/O (EUR)</t>
  </si>
  <si>
    <t xml:space="preserve">Ngôn ngữ nhãn bắt buộc (DE / FR / NL)</t>
  </si>
  <si>
    <t xml:space="preserve">Khác biệt quốc gia cần lưu ý</t>
  </si>
  <si>
    <t xml:space="preserve">Tiếng Đức / Tiếng Pháp / Tiếng Hà Lan</t>
  </si>
  <si>
    <t xml:space="preserve">Tên thương mại loài thuỷ sản phải theo danh mục do từng nước công bố; thông tin người tiêu dùng bắt buộc bằng tiếng nước sở tại</t>
  </si>
  <si>
    <t xml:space="preserve">Thông tin người tiêu dùng bắt buộc bằng tiếng nước sở tại; kiểm dịch/SPS tại cửa khẩu theo quy định chung EU (không khác theo nước)</t>
  </si>
  <si>
    <t xml:space="preserve">Cách tính: VAT nhập khẩu = (trị giá hải quan + thuế nhập khẩu) × thuế suất VAT. Trị giá lô minh hoạ lấy ở 'Tham so'!B4, giả định là trị giá CIF.</t>
  </si>
  <si>
    <t xml:space="preserve">VAT nhập khẩu được khấu trừ đối với nhà nhập khẩu đã đăng ký VAT → với khách hàng B2B, đây là dòng tiền, không phải chi phí. Thuế nhập khẩu thì không được khấu trừ.</t>
  </si>
  <si>
    <t xml:space="preserve">Thuế nhập khẩu và quy tắc xuất xứ là của cả Liên minh thuế quan EU: không phụ thuộc nước nhập khẩu. Chỉ VAT, ngôn ngữ nhãn, tên thương mại thuỷ sản và thủ tục kê khai VAT khác nhau.</t>
  </si>
  <si>
    <t xml:space="preserve">Cơ chế nộp/hoãn VAT nhập khẩu khác nhau giữa DE, FR, NL (ví dụ FR tự hạch toán, NL giấy phép hoãn) – chưa xác minh, cần tư vấn thuế từng nước.</t>
  </si>
  <si>
    <t xml:space="preserve">Tham số tính toán</t>
  </si>
  <si>
    <t xml:space="preserve">Năm tính thuế EVFTA</t>
  </si>
  <si>
    <t xml:space="preserve">Năm hiệu lực 1/8/2020 = bậc 1; mỗi 1/1 giảm thêm một bậc</t>
  </si>
  <si>
    <t xml:space="preserve">Giá trị lô hàng minh hoạ (EUR)</t>
  </si>
  <si>
    <t xml:space="preserve">Nhóm lộ trình</t>
  </si>
  <si>
    <t xml:space="preserve">Số bậc cắt giảm đều</t>
  </si>
  <si>
    <t xml:space="preserve">Ý nghĩa</t>
  </si>
  <si>
    <t xml:space="preserve">Xoá bỏ ngay từ 1/8/2020</t>
  </si>
  <si>
    <t xml:space="preserve">0% từ 1/1/2023</t>
  </si>
  <si>
    <t xml:space="preserve">B5</t>
  </si>
  <si>
    <t xml:space="preserve">0% từ 1/1/2025</t>
  </si>
  <si>
    <t xml:space="preserve">B7</t>
  </si>
  <si>
    <t xml:space="preserve">0% từ 1/1/2027</t>
  </si>
  <si>
    <t xml:space="preserve">VAT nhập khẩu cho thực phẩm (thuế suất giảm)</t>
  </si>
  <si>
    <t xml:space="preserve">Nước</t>
  </si>
  <si>
    <t xml:space="preserve">VAT thực phẩm</t>
  </si>
  <si>
    <t xml:space="preserve">VAT chuẩn</t>
  </si>
  <si>
    <t xml:space="preserve">Ghi chú / nguồn</t>
  </si>
  <si>
    <t xml:space="preserve">Đức (DE)</t>
  </si>
  <si>
    <t xml:space="preserve">Thuế suất giảm 7% cho thực phẩm; chuẩn 19% – nguồn thứ cấp nhất quán (bảng VAT EU 2026); đối chiếu TEDB của Uỷ ban châu Âu trước go-live</t>
  </si>
  <si>
    <t xml:space="preserve">Pháp (FR)</t>
  </si>
  <si>
    <t xml:space="preserve">Thuế suất giảm 5,5% cho thực phẩm; chuẩn 20% – nguồn thứ cấp nhất quán (bảng VAT EU 2026); đối chiếu TEDB của Uỷ ban châu Âu trước go-live</t>
  </si>
  <si>
    <t xml:space="preserve">Hà Lan (NL)</t>
  </si>
  <si>
    <t xml:space="preserve">Thuế suất giảm 9% cho thực phẩm; chuẩn 21% – nguồn thứ cấp nhất quán (bảng VAT EU 2026); đối chiếu TEDB của Uỷ ban châu Âu trước go-live</t>
  </si>
  <si>
    <t xml:space="preserve">Điều khoản</t>
  </si>
  <si>
    <t xml:space="preserve">Nội dung chính (tóm tắt tiếng Việt)</t>
  </si>
  <si>
    <t xml:space="preserve">Ảnh hưởng đến máy tính RoO</t>
  </si>
  <si>
    <t xml:space="preserve">Điều 2</t>
  </si>
  <si>
    <t xml:space="preserve">Hàng có xuất xứ khi: (a) xuất xứ thuần tuý; hoặc (b) nguyên liệu không có xuất xứ đã qua gia công đủ theo Annex II</t>
  </si>
  <si>
    <t xml:space="preserve">Nhánh đầu tiên của cây quyết định</t>
  </si>
  <si>
    <t xml:space="preserve">Điều 3.1</t>
  </si>
  <si>
    <t xml:space="preserve">Cộng gộp song phương: nguyên liệu xuất xứ EU được coi như xuất xứ VN (nếu gia công vượt Điều 6)</t>
  </si>
  <si>
    <t xml:space="preserve">Hỏi: nguyên liệu nhập từ EU có chứng từ xuất xứ không?</t>
  </si>
  <si>
    <t xml:space="preserve">Điều 3.2–3.13</t>
  </si>
  <si>
    <t xml:space="preserve">Cộng gộp ASEAN (Annex III–IV) và vải Hàn Quốc (Annex V) – có điều kiện thông báo</t>
  </si>
  <si>
    <t xml:space="preserve">Không cần cho 20 mã này</t>
  </si>
  <si>
    <t xml:space="preserve">Điều 4.1(g)</t>
  </si>
  <si>
    <t xml:space="preserve">Thuỷ sản nuôi được coi là thuần tuý nếu sinh ra hoặc nuôi tại VN từ trứng, cá bột, cá giống, ấu trùng</t>
  </si>
  <si>
    <t xml:space="preserve">Tôm/cá nuôi từ giống nhập khẩu vẫn đạt</t>
  </si>
  <si>
    <t xml:space="preserve">Điều 4.1(h), 4.2</t>
  </si>
  <si>
    <t xml:space="preserve">Hải sản đánh bắt ngoài lãnh hải chỉ thuần tuý nếu tàu đăng ký, mang cờ VN/EU và đáp ứng điều kiện sở hữu ≥50%</t>
  </si>
  <si>
    <t xml:space="preserve">Bắt buộc hỏi thông tin tàu cho cá ngừ</t>
  </si>
  <si>
    <t xml:space="preserve">Điều 5.3</t>
  </si>
  <si>
    <t xml:space="preserve">Dung sai: nguyên liệu không đạt được dùng tối đa 10% trọng lượng hoặc giá xuất xưởng (Chương 2, 4–24, trừ thuỷ sản chế biến Chương 16)</t>
  </si>
  <si>
    <t xml:space="preserve">Áp dụng cho Chương 7, 8</t>
  </si>
  <si>
    <t xml:space="preserve">Điều 5.5</t>
  </si>
  <si>
    <t xml:space="preserve">Dung sai không áp dụng cho sản phẩm xuất xứ thuần tuý</t>
  </si>
  <si>
    <t xml:space="preserve">Tôm, cá nguyên con: không có dung sai</t>
  </si>
  <si>
    <t xml:space="preserve">Điều 6.1</t>
  </si>
  <si>
    <t xml:space="preserve">Thao tác không đủ: bảo quản, làm sạch, phân loại, đóng gói đơn giản, bóc vỏ/tách hạt, trộn đơn giản, xay xát gạo…</t>
  </si>
  <si>
    <t xml:space="preserve">Nếu chỉ làm các thao tác này trên nguyên liệu nhập → KHÔNG đạt dù quy tắc là 'từ nhóm bất kỳ'</t>
  </si>
  <si>
    <t xml:space="preserve">Annex I – Ghi chú 4.1</t>
  </si>
  <si>
    <t xml:space="preserve">Nông sản Chương 6, 7, 8, 9, 10, 12 trồng tại một Bên có xuất xứ dù trồng từ hạt, củ, cành, giống nhập khẩu</t>
  </si>
  <si>
    <t xml:space="preserve">Không cần hỏi nguồn giống cây trồng</t>
  </si>
  <si>
    <t xml:space="preserve">Điều 13</t>
  </si>
  <si>
    <t xml:space="preserve">Không thay đổi: hàng không được biến đổi khi quá cảnh; lưu kho/chia lô phải dưới giám sát hải quan</t>
  </si>
  <si>
    <t xml:space="preserve">Hỏi tuyến vận chuyển nếu qua nước thứ ba</t>
  </si>
  <si>
    <t xml:space="preserve">Điều 15.2</t>
  </si>
  <si>
    <t xml:space="preserve">Chứng từ: C/O (EUR.1) do cơ quan có thẩm quyền VN cấp; hoặc tự khai xuất xứ cho lô ≤ 6.000 EUR (theo luật VN); hoặc nhà xuất khẩu được chấp thuận/đăng ký sau khi VN thông báo</t>
  </si>
  <si>
    <t xml:space="preserve">Máy tính tạo bản nháp EUR.1; gợi ý tự khai cho lô nhỏ</t>
  </si>
  <si>
    <t xml:space="preserve">Điều 21</t>
  </si>
  <si>
    <t xml:space="preserve">Chứng từ xuất xứ có hiệu lực 12 tháng từ ngày phát hành</t>
  </si>
  <si>
    <t xml:space="preserve">Cảnh báo hết hạn trong dashboard</t>
  </si>
  <si>
    <t xml:space="preserve">Điều 26</t>
  </si>
  <si>
    <t xml:space="preserve">Lưu hồ sơ chứng minh xuất xứ tối thiểu 3 năm</t>
  </si>
  <si>
    <t xml:space="preserve">Lưu hồ sơ trong ComplianceCheck/Document</t>
  </si>
  <si>
    <t xml:space="preserve">Nguồn</t>
  </si>
  <si>
    <t xml:space="preserve">Dùng cho</t>
  </si>
  <si>
    <t xml:space="preserve">EVFTA Appendix 2-A-1 Tariff Schedule of the Union – wtocenter.vn</t>
  </si>
  <si>
    <t xml:space="preserve">Thuế cơ sở, nhóm lộ trình Chương 3, 7, 8</t>
  </si>
  <si>
    <t xml:space="preserve">EVFTA Protocol 1 và Annex I, II – trungtamwto.vn/file/19690/protocol-1.pdf</t>
  </si>
  <si>
    <t xml:space="preserve">Quy tắc xuất xứ nguyên văn; Điều 2–6, 13, 15, 21, 26</t>
  </si>
  <si>
    <t xml:space="preserve">Annex 2-A EVFTA; CCI France Vietnam</t>
  </si>
  <si>
    <t xml:space="preserve">Cách tính bậc lộ trình A/B3/B5/B7</t>
  </si>
  <si>
    <t xml:space="preserve">TARIC (EU)</t>
  </si>
  <si>
    <t xml:space="preserve">Cần đối chiếu MFN hiện hành trước go-live</t>
  </si>
  <si>
    <t xml:space="preserve">Bảng thuế suất VAT EU 2026 (Tax Foundation, EuroCompta, TaxesLedger); TEDB – Uỷ ban châu Âu</t>
  </si>
  <si>
    <t xml:space="preserve">VAT thực phẩm DE 7%, FR 5,5%, NL 9% – cần đối chiếu TEDB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</si>
</sst>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;\(#,##0\);\-"/>
    <numFmt numFmtId="167" formatCode="General"/>
    <numFmt numFmtId="168" formatCode="#,##0;\(#,##0\);\-"/>
    <numFmt numFmtId="169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9" min="9" style="1" width="44"/>
    <col collapsed="false" customWidth="true" hidden="false" outlineLevel="0" max="10" min="10" style="1" width="34"/>
    <col collapsed="false" customWidth="true" hidden="false" outlineLevel="0" max="11" min="11" style="1" width="24"/>
    <col collapsed="false" customWidth="true" hidden="false" outlineLevel="0" max="12" min="12" style="1" width="40"/>
    <col collapsed="false" customWidth="true" hidden="false" outlineLevel="0" max="13" min="13" style="1" width="30"/>
    <col collapsed="false" customWidth="true" hidden="false" outlineLevel="0" max="14" min="14" style="1" width="34"/>
    <col collapsed="false" customWidth="true" hidden="false" outlineLevel="0" max="15" min="15" style="1" width="40"/>
    <col collapsed="false" customWidth="true" hidden="false" outlineLevel="0" max="16" min="16" style="1" width="14"/>
    <col collapsed="false" customWidth="true" hidden="false" outlineLevel="0" max="17" min="17" style="1" width="32"/>
  </cols>
  <sheetData>
    <row r="1" customFormat="false" ht="4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45.75" hidden="false" customHeight="true" outlineLevel="0" collapsed="false">
      <c r="A2" s="3" t="n">
        <v>1</v>
      </c>
      <c r="B2" s="3" t="s">
        <v>17</v>
      </c>
      <c r="C2" s="3" t="s">
        <v>18</v>
      </c>
      <c r="D2" s="3" t="s">
        <v>19</v>
      </c>
      <c r="E2" s="4" t="n">
        <v>0.12</v>
      </c>
      <c r="F2" s="3" t="s">
        <v>20</v>
      </c>
      <c r="G2" s="5" t="n">
        <f aca="false">IF(E2=0,0,E2*(1-MIN(INDEX('Tham so'!$B$7:$B$10,MATCH(F2,'Tham so'!$A$7:$A$10,0)),'Tham so'!$B$3-2019)/INDEX('Tham so'!$B$7:$B$10,MATCH(F2,'Tham so'!$A$7:$A$10,0))))</f>
        <v>0</v>
      </c>
      <c r="H2" s="6" t="n">
        <f aca="false">'Tham so'!$B$4*(E2-G2)</f>
        <v>12000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7"/>
      <c r="Q2" s="3"/>
    </row>
    <row r="3" customFormat="false" ht="45.75" hidden="false" customHeight="true" outlineLevel="0" collapsed="false">
      <c r="A3" s="3" t="n">
        <v>2</v>
      </c>
      <c r="B3" s="3" t="s">
        <v>17</v>
      </c>
      <c r="C3" s="3" t="s">
        <v>28</v>
      </c>
      <c r="D3" s="3" t="s">
        <v>29</v>
      </c>
      <c r="E3" s="4" t="n">
        <v>0.12</v>
      </c>
      <c r="F3" s="3" t="s">
        <v>20</v>
      </c>
      <c r="G3" s="5" t="n">
        <f aca="false">IF(E3=0,0,E3*(1-MIN(INDEX('Tham so'!$B$7:$B$10,MATCH(F3,'Tham so'!$A$7:$A$10,0)),'Tham so'!$B$3-2019)/INDEX('Tham so'!$B$7:$B$10,MATCH(F3,'Tham so'!$A$7:$A$10,0))))</f>
        <v>0</v>
      </c>
      <c r="H3" s="6" t="n">
        <f aca="false">'Tham so'!$B$4*(E3-G3)</f>
        <v>12000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30</v>
      </c>
      <c r="P3" s="7"/>
      <c r="Q3" s="3"/>
    </row>
    <row r="4" customFormat="false" ht="45.75" hidden="false" customHeight="true" outlineLevel="0" collapsed="false">
      <c r="A4" s="3" t="n">
        <v>3</v>
      </c>
      <c r="B4" s="3" t="s">
        <v>17</v>
      </c>
      <c r="C4" s="3" t="s">
        <v>31</v>
      </c>
      <c r="D4" s="3" t="s">
        <v>32</v>
      </c>
      <c r="E4" s="4" t="n">
        <v>0.055</v>
      </c>
      <c r="F4" s="3" t="s">
        <v>33</v>
      </c>
      <c r="G4" s="5" t="n">
        <f aca="false">IF(E4=0,0,E4*(1-MIN(INDEX('Tham so'!$B$7:$B$10,MATCH(F4,'Tham so'!$A$7:$A$10,0)),'Tham so'!$B$3-2019)/INDEX('Tham so'!$B$7:$B$10,MATCH(F4,'Tham so'!$A$7:$A$10,0))))</f>
        <v>0</v>
      </c>
      <c r="H4" s="6" t="n">
        <f aca="false">'Tham so'!$B$4*(E4-G4)</f>
        <v>5500</v>
      </c>
      <c r="I4" s="3" t="s">
        <v>34</v>
      </c>
      <c r="J4" s="3" t="s">
        <v>35</v>
      </c>
      <c r="K4" s="3" t="s">
        <v>36</v>
      </c>
      <c r="L4" s="3" t="s">
        <v>24</v>
      </c>
      <c r="M4" s="3" t="s">
        <v>25</v>
      </c>
      <c r="N4" s="3" t="s">
        <v>26</v>
      </c>
      <c r="O4" s="3" t="s">
        <v>37</v>
      </c>
      <c r="P4" s="7"/>
      <c r="Q4" s="3" t="s">
        <v>38</v>
      </c>
    </row>
    <row r="5" customFormat="false" ht="45.75" hidden="false" customHeight="true" outlineLevel="0" collapsed="false">
      <c r="A5" s="3" t="n">
        <v>4</v>
      </c>
      <c r="B5" s="3" t="s">
        <v>17</v>
      </c>
      <c r="C5" s="3" t="s">
        <v>39</v>
      </c>
      <c r="D5" s="3" t="s">
        <v>40</v>
      </c>
      <c r="E5" s="4" t="n">
        <v>0.09</v>
      </c>
      <c r="F5" s="3" t="s">
        <v>33</v>
      </c>
      <c r="G5" s="5" t="n">
        <f aca="false">IF(E5=0,0,E5*(1-MIN(INDEX('Tham so'!$B$7:$B$10,MATCH(F5,'Tham so'!$A$7:$A$10,0)),'Tham so'!$B$3-2019)/INDEX('Tham so'!$B$7:$B$10,MATCH(F5,'Tham so'!$A$7:$A$10,0))))</f>
        <v>0</v>
      </c>
      <c r="H5" s="6" t="n">
        <f aca="false">'Tham so'!$B$4*(E5-G5)</f>
        <v>9000</v>
      </c>
      <c r="I5" s="3" t="s">
        <v>34</v>
      </c>
      <c r="J5" s="3" t="s">
        <v>35</v>
      </c>
      <c r="K5" s="3" t="s">
        <v>36</v>
      </c>
      <c r="L5" s="3" t="s">
        <v>24</v>
      </c>
      <c r="M5" s="3" t="s">
        <v>25</v>
      </c>
      <c r="N5" s="3" t="s">
        <v>26</v>
      </c>
      <c r="O5" s="3" t="s">
        <v>41</v>
      </c>
      <c r="P5" s="7"/>
      <c r="Q5" s="3"/>
    </row>
    <row r="6" customFormat="false" ht="45.75" hidden="false" customHeight="true" outlineLevel="0" collapsed="false">
      <c r="A6" s="3" t="n">
        <v>5</v>
      </c>
      <c r="B6" s="3" t="s">
        <v>17</v>
      </c>
      <c r="C6" s="3" t="s">
        <v>42</v>
      </c>
      <c r="D6" s="3" t="s">
        <v>43</v>
      </c>
      <c r="E6" s="4" t="n">
        <v>0.08</v>
      </c>
      <c r="F6" s="3" t="s">
        <v>33</v>
      </c>
      <c r="G6" s="5" t="n">
        <f aca="false">IF(E6=0,0,E6*(1-MIN(INDEX('Tham so'!$B$7:$B$10,MATCH(F6,'Tham so'!$A$7:$A$10,0)),'Tham so'!$B$3-2019)/INDEX('Tham so'!$B$7:$B$10,MATCH(F6,'Tham so'!$A$7:$A$10,0))))</f>
        <v>0</v>
      </c>
      <c r="H6" s="6" t="n">
        <f aca="false">'Tham so'!$B$4*(E6-G6)</f>
        <v>8000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41</v>
      </c>
      <c r="P6" s="7"/>
      <c r="Q6" s="3"/>
    </row>
    <row r="7" customFormat="false" ht="45.75" hidden="false" customHeight="true" outlineLevel="0" collapsed="false">
      <c r="A7" s="3" t="n">
        <v>6</v>
      </c>
      <c r="B7" s="3" t="s">
        <v>17</v>
      </c>
      <c r="C7" s="3" t="s">
        <v>44</v>
      </c>
      <c r="D7" s="3" t="s">
        <v>45</v>
      </c>
      <c r="E7" s="4" t="n">
        <v>0.18</v>
      </c>
      <c r="F7" s="3" t="s">
        <v>33</v>
      </c>
      <c r="G7" s="5" t="n">
        <f aca="false">IF(E7=0,0,E7*(1-MIN(INDEX('Tham so'!$B$7:$B$10,MATCH(F7,'Tham so'!$A$7:$A$10,0)),'Tham so'!$B$3-2019)/INDEX('Tham so'!$B$7:$B$10,MATCH(F7,'Tham so'!$A$7:$A$10,0))))</f>
        <v>0</v>
      </c>
      <c r="H7" s="6" t="n">
        <f aca="false">'Tham so'!$B$4*(E7-G7)</f>
        <v>18000</v>
      </c>
      <c r="I7" s="3" t="s">
        <v>34</v>
      </c>
      <c r="J7" s="3" t="s">
        <v>35</v>
      </c>
      <c r="K7" s="3" t="s">
        <v>46</v>
      </c>
      <c r="L7" s="3" t="s">
        <v>47</v>
      </c>
      <c r="M7" s="3" t="s">
        <v>25</v>
      </c>
      <c r="N7" s="3" t="s">
        <v>26</v>
      </c>
      <c r="O7" s="3" t="s">
        <v>48</v>
      </c>
      <c r="P7" s="7"/>
      <c r="Q7" s="3" t="s">
        <v>49</v>
      </c>
    </row>
    <row r="8" customFormat="false" ht="45.75" hidden="false" customHeight="true" outlineLevel="0" collapsed="false">
      <c r="A8" s="3" t="n">
        <v>7</v>
      </c>
      <c r="B8" s="3" t="s">
        <v>17</v>
      </c>
      <c r="C8" s="3" t="s">
        <v>50</v>
      </c>
      <c r="D8" s="3" t="s">
        <v>51</v>
      </c>
      <c r="E8" s="4" t="n">
        <v>0.22</v>
      </c>
      <c r="F8" s="3" t="s">
        <v>20</v>
      </c>
      <c r="G8" s="5" t="n">
        <f aca="false">IF(E8=0,0,E8*(1-MIN(INDEX('Tham so'!$B$7:$B$10,MATCH(F8,'Tham so'!$A$7:$A$10,0)),'Tham so'!$B$3-2019)/INDEX('Tham so'!$B$7:$B$10,MATCH(F8,'Tham so'!$A$7:$A$10,0))))</f>
        <v>0</v>
      </c>
      <c r="H8" s="6" t="n">
        <f aca="false">'Tham so'!$B$4*(E8-G8)</f>
        <v>22000</v>
      </c>
      <c r="I8" s="3" t="s">
        <v>21</v>
      </c>
      <c r="J8" s="3" t="s">
        <v>22</v>
      </c>
      <c r="K8" s="3" t="s">
        <v>52</v>
      </c>
      <c r="L8" s="3" t="s">
        <v>47</v>
      </c>
      <c r="M8" s="3" t="s">
        <v>25</v>
      </c>
      <c r="N8" s="3" t="s">
        <v>26</v>
      </c>
      <c r="O8" s="3" t="s">
        <v>53</v>
      </c>
      <c r="P8" s="7"/>
      <c r="Q8" s="3" t="s">
        <v>54</v>
      </c>
    </row>
    <row r="9" customFormat="false" ht="45.75" hidden="false" customHeight="true" outlineLevel="0" collapsed="false">
      <c r="A9" s="3" t="n">
        <v>8</v>
      </c>
      <c r="B9" s="3" t="s">
        <v>17</v>
      </c>
      <c r="C9" s="3" t="s">
        <v>55</v>
      </c>
      <c r="D9" s="3" t="s">
        <v>56</v>
      </c>
      <c r="E9" s="4" t="n">
        <v>0.11</v>
      </c>
      <c r="F9" s="3" t="s">
        <v>20</v>
      </c>
      <c r="G9" s="5" t="n">
        <f aca="false">IF(E9=0,0,E9*(1-MIN(INDEX('Tham so'!$B$7:$B$10,MATCH(F9,'Tham so'!$A$7:$A$10,0)),'Tham so'!$B$3-2019)/INDEX('Tham so'!$B$7:$B$10,MATCH(F9,'Tham so'!$A$7:$A$10,0))))</f>
        <v>0</v>
      </c>
      <c r="H9" s="6" t="n">
        <f aca="false">'Tham so'!$B$4*(E9-G9)</f>
        <v>11000</v>
      </c>
      <c r="I9" s="3" t="s">
        <v>21</v>
      </c>
      <c r="J9" s="3" t="s">
        <v>22</v>
      </c>
      <c r="K9" s="3" t="s">
        <v>23</v>
      </c>
      <c r="L9" s="3" t="s">
        <v>24</v>
      </c>
      <c r="M9" s="3" t="s">
        <v>25</v>
      </c>
      <c r="N9" s="3" t="s">
        <v>26</v>
      </c>
      <c r="O9" s="3" t="s">
        <v>57</v>
      </c>
      <c r="P9" s="7"/>
      <c r="Q9" s="3" t="s">
        <v>58</v>
      </c>
    </row>
    <row r="10" customFormat="false" ht="45.75" hidden="false" customHeight="true" outlineLevel="0" collapsed="false">
      <c r="A10" s="3" t="n">
        <v>9</v>
      </c>
      <c r="B10" s="3" t="s">
        <v>59</v>
      </c>
      <c r="C10" s="3" t="s">
        <v>60</v>
      </c>
      <c r="D10" s="3" t="s">
        <v>61</v>
      </c>
      <c r="E10" s="4" t="n">
        <v>0.128</v>
      </c>
      <c r="F10" s="3" t="s">
        <v>20</v>
      </c>
      <c r="G10" s="5" t="n">
        <f aca="false">IF(E10=0,0,E10*(1-MIN(INDEX('Tham so'!$B$7:$B$10,MATCH(F10,'Tham so'!$A$7:$A$10,0)),'Tham so'!$B$3-2019)/INDEX('Tham so'!$B$7:$B$10,MATCH(F10,'Tham so'!$A$7:$A$10,0))))</f>
        <v>0</v>
      </c>
      <c r="H10" s="6" t="n">
        <f aca="false">'Tham so'!$B$4*(E10-G10)</f>
        <v>12800</v>
      </c>
      <c r="I10" s="3" t="s">
        <v>62</v>
      </c>
      <c r="J10" s="3" t="s">
        <v>63</v>
      </c>
      <c r="K10" s="3" t="s">
        <v>64</v>
      </c>
      <c r="L10" s="3" t="s">
        <v>65</v>
      </c>
      <c r="M10" s="3" t="s">
        <v>66</v>
      </c>
      <c r="N10" s="3" t="s">
        <v>67</v>
      </c>
      <c r="O10" s="3" t="s">
        <v>68</v>
      </c>
      <c r="P10" s="7"/>
      <c r="Q10" s="3" t="s">
        <v>69</v>
      </c>
    </row>
    <row r="11" customFormat="false" ht="45.75" hidden="false" customHeight="true" outlineLevel="0" collapsed="false">
      <c r="A11" s="3" t="n">
        <v>10</v>
      </c>
      <c r="B11" s="3" t="s">
        <v>59</v>
      </c>
      <c r="C11" s="3" t="s">
        <v>70</v>
      </c>
      <c r="D11" s="3" t="s">
        <v>71</v>
      </c>
      <c r="E11" s="4" t="n">
        <v>0.128</v>
      </c>
      <c r="F11" s="3" t="s">
        <v>20</v>
      </c>
      <c r="G11" s="5" t="n">
        <f aca="false">IF(E11=0,0,E11*(1-MIN(INDEX('Tham so'!$B$7:$B$10,MATCH(F11,'Tham so'!$A$7:$A$10,0)),'Tham so'!$B$3-2019)/INDEX('Tham so'!$B$7:$B$10,MATCH(F11,'Tham so'!$A$7:$A$10,0))))</f>
        <v>0</v>
      </c>
      <c r="H11" s="6" t="n">
        <f aca="false">'Tham so'!$B$4*(E11-G11)</f>
        <v>12800</v>
      </c>
      <c r="I11" s="3" t="s">
        <v>62</v>
      </c>
      <c r="J11" s="3" t="s">
        <v>63</v>
      </c>
      <c r="K11" s="3" t="s">
        <v>64</v>
      </c>
      <c r="L11" s="3" t="s">
        <v>65</v>
      </c>
      <c r="M11" s="3" t="s">
        <v>66</v>
      </c>
      <c r="N11" s="3" t="s">
        <v>67</v>
      </c>
      <c r="O11" s="3" t="s">
        <v>30</v>
      </c>
      <c r="P11" s="7"/>
      <c r="Q11" s="3"/>
    </row>
    <row r="12" customFormat="false" ht="45.75" hidden="false" customHeight="true" outlineLevel="0" collapsed="false">
      <c r="A12" s="3" t="n">
        <v>11</v>
      </c>
      <c r="B12" s="3" t="s">
        <v>59</v>
      </c>
      <c r="C12" s="3" t="s">
        <v>72</v>
      </c>
      <c r="D12" s="3" t="s">
        <v>73</v>
      </c>
      <c r="E12" s="4" t="n">
        <v>0.144</v>
      </c>
      <c r="F12" s="3" t="s">
        <v>20</v>
      </c>
      <c r="G12" s="5" t="n">
        <f aca="false">IF(E12=0,0,E12*(1-MIN(INDEX('Tham so'!$B$7:$B$10,MATCH(F12,'Tham so'!$A$7:$A$10,0)),'Tham so'!$B$3-2019)/INDEX('Tham so'!$B$7:$B$10,MATCH(F12,'Tham so'!$A$7:$A$10,0))))</f>
        <v>0</v>
      </c>
      <c r="H12" s="6" t="n">
        <f aca="false">'Tham so'!$B$4*(E12-G12)</f>
        <v>14400</v>
      </c>
      <c r="I12" s="3" t="s">
        <v>62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67</v>
      </c>
      <c r="O12" s="3" t="s">
        <v>74</v>
      </c>
      <c r="P12" s="7"/>
      <c r="Q12" s="3"/>
    </row>
    <row r="13" customFormat="false" ht="45.75" hidden="false" customHeight="true" outlineLevel="0" collapsed="false">
      <c r="A13" s="3" t="n">
        <v>12</v>
      </c>
      <c r="B13" s="3" t="s">
        <v>59</v>
      </c>
      <c r="C13" s="3" t="s">
        <v>75</v>
      </c>
      <c r="D13" s="3" t="s">
        <v>76</v>
      </c>
      <c r="E13" s="4" t="n">
        <v>0.144</v>
      </c>
      <c r="F13" s="3" t="s">
        <v>20</v>
      </c>
      <c r="G13" s="5" t="n">
        <f aca="false">IF(E13=0,0,E13*(1-MIN(INDEX('Tham so'!$B$7:$B$10,MATCH(F13,'Tham so'!$A$7:$A$10,0)),'Tham so'!$B$3-2019)/INDEX('Tham so'!$B$7:$B$10,MATCH(F13,'Tham so'!$A$7:$A$10,0))))</f>
        <v>0</v>
      </c>
      <c r="H13" s="6" t="n">
        <f aca="false">'Tham so'!$B$4*(E13-G13)</f>
        <v>14400</v>
      </c>
      <c r="I13" s="3" t="s">
        <v>62</v>
      </c>
      <c r="J13" s="3" t="s">
        <v>63</v>
      </c>
      <c r="K13" s="3" t="s">
        <v>64</v>
      </c>
      <c r="L13" s="3" t="s">
        <v>65</v>
      </c>
      <c r="M13" s="3" t="s">
        <v>66</v>
      </c>
      <c r="N13" s="3" t="s">
        <v>67</v>
      </c>
      <c r="O13" s="3" t="s">
        <v>41</v>
      </c>
      <c r="P13" s="7"/>
      <c r="Q13" s="3"/>
    </row>
    <row r="14" customFormat="false" ht="45.75" hidden="false" customHeight="true" outlineLevel="0" collapsed="false">
      <c r="A14" s="3" t="n">
        <v>13</v>
      </c>
      <c r="B14" s="3" t="s">
        <v>59</v>
      </c>
      <c r="C14" s="3" t="s">
        <v>77</v>
      </c>
      <c r="D14" s="3" t="s">
        <v>78</v>
      </c>
      <c r="E14" s="4" t="n">
        <v>0.064</v>
      </c>
      <c r="F14" s="3" t="s">
        <v>20</v>
      </c>
      <c r="G14" s="5" t="n">
        <f aca="false">IF(E14=0,0,E14*(1-MIN(INDEX('Tham so'!$B$7:$B$10,MATCH(F14,'Tham so'!$A$7:$A$10,0)),'Tham so'!$B$3-2019)/INDEX('Tham so'!$B$7:$B$10,MATCH(F14,'Tham so'!$A$7:$A$10,0))))</f>
        <v>0</v>
      </c>
      <c r="H14" s="6" t="n">
        <f aca="false">'Tham so'!$B$4*(E14-G14)</f>
        <v>6400</v>
      </c>
      <c r="I14" s="3" t="s">
        <v>62</v>
      </c>
      <c r="J14" s="3" t="s">
        <v>63</v>
      </c>
      <c r="K14" s="3" t="s">
        <v>64</v>
      </c>
      <c r="L14" s="3" t="s">
        <v>65</v>
      </c>
      <c r="M14" s="3" t="s">
        <v>66</v>
      </c>
      <c r="N14" s="3" t="s">
        <v>67</v>
      </c>
      <c r="O14" s="3" t="s">
        <v>41</v>
      </c>
      <c r="P14" s="7"/>
      <c r="Q14" s="3" t="s">
        <v>79</v>
      </c>
    </row>
    <row r="15" customFormat="false" ht="57" hidden="false" customHeight="true" outlineLevel="0" collapsed="false">
      <c r="A15" s="3" t="n">
        <v>14</v>
      </c>
      <c r="B15" s="3" t="s">
        <v>80</v>
      </c>
      <c r="C15" s="3" t="s">
        <v>81</v>
      </c>
      <c r="D15" s="3" t="s">
        <v>82</v>
      </c>
      <c r="E15" s="4" t="n">
        <v>0.088</v>
      </c>
      <c r="F15" s="3" t="s">
        <v>20</v>
      </c>
      <c r="G15" s="5" t="n">
        <f aca="false">IF(E15=0,0,E15*(1-MIN(INDEX('Tham so'!$B$7:$B$10,MATCH(F15,'Tham so'!$A$7:$A$10,0)),'Tham so'!$B$3-2019)/INDEX('Tham so'!$B$7:$B$10,MATCH(F15,'Tham so'!$A$7:$A$10,0))))</f>
        <v>0</v>
      </c>
      <c r="H15" s="6" t="n">
        <f aca="false">'Tham so'!$B$4*(E15-G15)</f>
        <v>8800</v>
      </c>
      <c r="I15" s="3" t="s">
        <v>83</v>
      </c>
      <c r="J15" s="3" t="s">
        <v>84</v>
      </c>
      <c r="K15" s="3" t="s">
        <v>85</v>
      </c>
      <c r="L15" s="3" t="s">
        <v>86</v>
      </c>
      <c r="M15" s="3" t="s">
        <v>87</v>
      </c>
      <c r="N15" s="3" t="s">
        <v>67</v>
      </c>
      <c r="O15" s="3" t="s">
        <v>41</v>
      </c>
      <c r="P15" s="7"/>
      <c r="Q15" s="3"/>
    </row>
    <row r="16" customFormat="false" ht="57" hidden="false" customHeight="true" outlineLevel="0" collapsed="false">
      <c r="A16" s="3" t="n">
        <v>15</v>
      </c>
      <c r="B16" s="3" t="s">
        <v>80</v>
      </c>
      <c r="C16" s="3" t="s">
        <v>88</v>
      </c>
      <c r="D16" s="3" t="s">
        <v>89</v>
      </c>
      <c r="E16" s="4" t="n">
        <v>0.088</v>
      </c>
      <c r="F16" s="3" t="s">
        <v>20</v>
      </c>
      <c r="G16" s="5" t="n">
        <f aca="false">IF(E16=0,0,E16*(1-MIN(INDEX('Tham so'!$B$7:$B$10,MATCH(F16,'Tham so'!$A$7:$A$10,0)),'Tham so'!$B$3-2019)/INDEX('Tham so'!$B$7:$B$10,MATCH(F16,'Tham so'!$A$7:$A$10,0))))</f>
        <v>0</v>
      </c>
      <c r="H16" s="6" t="n">
        <f aca="false">'Tham so'!$B$4*(E16-G16)</f>
        <v>8800</v>
      </c>
      <c r="I16" s="3" t="s">
        <v>83</v>
      </c>
      <c r="J16" s="3" t="s">
        <v>84</v>
      </c>
      <c r="K16" s="3" t="s">
        <v>85</v>
      </c>
      <c r="L16" s="3" t="s">
        <v>86</v>
      </c>
      <c r="M16" s="3" t="s">
        <v>87</v>
      </c>
      <c r="N16" s="3" t="s">
        <v>67</v>
      </c>
      <c r="O16" s="3" t="s">
        <v>41</v>
      </c>
      <c r="P16" s="7"/>
      <c r="Q16" s="3" t="s">
        <v>90</v>
      </c>
    </row>
    <row r="17" customFormat="false" ht="57" hidden="false" customHeight="true" outlineLevel="0" collapsed="false">
      <c r="A17" s="3" t="n">
        <v>16</v>
      </c>
      <c r="B17" s="3" t="s">
        <v>80</v>
      </c>
      <c r="C17" s="3" t="s">
        <v>91</v>
      </c>
      <c r="D17" s="3" t="s">
        <v>92</v>
      </c>
      <c r="E17" s="4" t="n">
        <v>0.09</v>
      </c>
      <c r="F17" s="3" t="s">
        <v>20</v>
      </c>
      <c r="G17" s="5" t="n">
        <f aca="false">IF(E17=0,0,E17*(1-MIN(INDEX('Tham so'!$B$7:$B$10,MATCH(F17,'Tham so'!$A$7:$A$10,0)),'Tham so'!$B$3-2019)/INDEX('Tham so'!$B$7:$B$10,MATCH(F17,'Tham so'!$A$7:$A$10,0))))</f>
        <v>0</v>
      </c>
      <c r="H17" s="6" t="n">
        <f aca="false">'Tham so'!$B$4*(E17-G17)</f>
        <v>9000</v>
      </c>
      <c r="I17" s="3" t="s">
        <v>83</v>
      </c>
      <c r="J17" s="3" t="s">
        <v>84</v>
      </c>
      <c r="K17" s="3" t="s">
        <v>85</v>
      </c>
      <c r="L17" s="3" t="s">
        <v>86</v>
      </c>
      <c r="M17" s="3" t="s">
        <v>87</v>
      </c>
      <c r="N17" s="3" t="s">
        <v>67</v>
      </c>
      <c r="O17" s="3" t="s">
        <v>93</v>
      </c>
      <c r="P17" s="7"/>
      <c r="Q17" s="3"/>
    </row>
    <row r="18" customFormat="false" ht="57" hidden="false" customHeight="true" outlineLevel="0" collapsed="false">
      <c r="A18" s="3" t="n">
        <v>17</v>
      </c>
      <c r="B18" s="3" t="s">
        <v>80</v>
      </c>
      <c r="C18" s="3" t="s">
        <v>94</v>
      </c>
      <c r="D18" s="3" t="s">
        <v>95</v>
      </c>
      <c r="E18" s="4" t="n">
        <v>0.058</v>
      </c>
      <c r="F18" s="3" t="s">
        <v>20</v>
      </c>
      <c r="G18" s="5" t="n">
        <f aca="false">IF(E18=0,0,E18*(1-MIN(INDEX('Tham so'!$B$7:$B$10,MATCH(F18,'Tham so'!$A$7:$A$10,0)),'Tham so'!$B$3-2019)/INDEX('Tham so'!$B$7:$B$10,MATCH(F18,'Tham so'!$A$7:$A$10,0))))</f>
        <v>0</v>
      </c>
      <c r="H18" s="6" t="n">
        <f aca="false">'Tham so'!$B$4*(E18-G18)</f>
        <v>5800</v>
      </c>
      <c r="I18" s="3" t="s">
        <v>83</v>
      </c>
      <c r="J18" s="3" t="s">
        <v>84</v>
      </c>
      <c r="K18" s="3" t="s">
        <v>85</v>
      </c>
      <c r="L18" s="3" t="s">
        <v>86</v>
      </c>
      <c r="M18" s="3" t="s">
        <v>87</v>
      </c>
      <c r="N18" s="3" t="s">
        <v>67</v>
      </c>
      <c r="O18" s="3" t="s">
        <v>41</v>
      </c>
      <c r="P18" s="7"/>
      <c r="Q18" s="3"/>
    </row>
    <row r="19" customFormat="false" ht="57" hidden="false" customHeight="true" outlineLevel="0" collapsed="false">
      <c r="A19" s="3" t="n">
        <v>18</v>
      </c>
      <c r="B19" s="3" t="s">
        <v>80</v>
      </c>
      <c r="C19" s="3" t="s">
        <v>96</v>
      </c>
      <c r="D19" s="3" t="s">
        <v>97</v>
      </c>
      <c r="E19" s="4" t="n">
        <v>0.128</v>
      </c>
      <c r="F19" s="3" t="s">
        <v>20</v>
      </c>
      <c r="G19" s="5" t="n">
        <f aca="false">IF(E19=0,0,E19*(1-MIN(INDEX('Tham so'!$B$7:$B$10,MATCH(F19,'Tham so'!$A$7:$A$10,0)),'Tham so'!$B$3-2019)/INDEX('Tham so'!$B$7:$B$10,MATCH(F19,'Tham so'!$A$7:$A$10,0))))</f>
        <v>0</v>
      </c>
      <c r="H19" s="6" t="n">
        <f aca="false">'Tham so'!$B$4*(E19-G19)</f>
        <v>12800</v>
      </c>
      <c r="I19" s="3" t="s">
        <v>83</v>
      </c>
      <c r="J19" s="3" t="s">
        <v>84</v>
      </c>
      <c r="K19" s="3" t="s">
        <v>85</v>
      </c>
      <c r="L19" s="3" t="s">
        <v>86</v>
      </c>
      <c r="M19" s="3" t="s">
        <v>87</v>
      </c>
      <c r="N19" s="3" t="s">
        <v>67</v>
      </c>
      <c r="O19" s="3" t="s">
        <v>41</v>
      </c>
      <c r="P19" s="7"/>
      <c r="Q19" s="3"/>
    </row>
    <row r="20" customFormat="false" ht="57" hidden="false" customHeight="true" outlineLevel="0" collapsed="false">
      <c r="A20" s="3" t="n">
        <v>19</v>
      </c>
      <c r="B20" s="3" t="s">
        <v>98</v>
      </c>
      <c r="C20" s="3" t="s">
        <v>99</v>
      </c>
      <c r="D20" s="3" t="s">
        <v>100</v>
      </c>
      <c r="E20" s="4" t="n">
        <v>0</v>
      </c>
      <c r="F20" s="3" t="s">
        <v>20</v>
      </c>
      <c r="G20" s="5" t="n">
        <f aca="false">IF(E20=0,0,E20*(1-MIN(INDEX('Tham so'!$B$7:$B$10,MATCH(F20,'Tham so'!$A$7:$A$10,0)),'Tham so'!$B$3-2019)/INDEX('Tham so'!$B$7:$B$10,MATCH(F20,'Tham so'!$A$7:$A$10,0))))</f>
        <v>0</v>
      </c>
      <c r="H20" s="6" t="n">
        <f aca="false">'Tham so'!$B$4*(E20-G20)</f>
        <v>0</v>
      </c>
      <c r="I20" s="3" t="s">
        <v>83</v>
      </c>
      <c r="J20" s="3" t="s">
        <v>84</v>
      </c>
      <c r="K20" s="3" t="s">
        <v>85</v>
      </c>
      <c r="L20" s="3" t="s">
        <v>86</v>
      </c>
      <c r="M20" s="3" t="s">
        <v>87</v>
      </c>
      <c r="N20" s="3" t="s">
        <v>67</v>
      </c>
      <c r="O20" s="3" t="s">
        <v>101</v>
      </c>
      <c r="P20" s="7"/>
      <c r="Q20" s="3" t="s">
        <v>102</v>
      </c>
    </row>
    <row r="21" customFormat="false" ht="57" hidden="false" customHeight="true" outlineLevel="0" collapsed="false">
      <c r="A21" s="3" t="n">
        <v>20</v>
      </c>
      <c r="B21" s="3" t="s">
        <v>98</v>
      </c>
      <c r="C21" s="3" t="s">
        <v>103</v>
      </c>
      <c r="D21" s="3" t="s">
        <v>104</v>
      </c>
      <c r="E21" s="4" t="n">
        <v>0</v>
      </c>
      <c r="F21" s="3" t="s">
        <v>20</v>
      </c>
      <c r="G21" s="5" t="n">
        <f aca="false">IF(E21=0,0,E21*(1-MIN(INDEX('Tham so'!$B$7:$B$10,MATCH(F21,'Tham so'!$A$7:$A$10,0)),'Tham so'!$B$3-2019)/INDEX('Tham so'!$B$7:$B$10,MATCH(F21,'Tham so'!$A$7:$A$10,0))))</f>
        <v>0</v>
      </c>
      <c r="H21" s="6" t="n">
        <f aca="false">'Tham so'!$B$4*(E21-G21)</f>
        <v>0</v>
      </c>
      <c r="I21" s="3" t="s">
        <v>83</v>
      </c>
      <c r="J21" s="3" t="s">
        <v>84</v>
      </c>
      <c r="K21" s="3" t="s">
        <v>85</v>
      </c>
      <c r="L21" s="3" t="s">
        <v>86</v>
      </c>
      <c r="M21" s="3" t="s">
        <v>87</v>
      </c>
      <c r="N21" s="3" t="s">
        <v>67</v>
      </c>
      <c r="O21" s="3" t="s">
        <v>41</v>
      </c>
      <c r="P21" s="7"/>
      <c r="Q21" s="3" t="s">
        <v>105</v>
      </c>
    </row>
    <row r="23" customFormat="false" ht="15" hidden="false" customHeight="true" outlineLevel="0" collapsed="false">
      <c r="A23" s="8" t="s">
        <v>106</v>
      </c>
    </row>
    <row r="24" customFormat="false" ht="15" hidden="false" customHeight="true" outlineLevel="0" collapsed="false">
      <c r="A24" s="8" t="s">
        <v>107</v>
      </c>
    </row>
    <row r="25" customFormat="false" ht="15" hidden="false" customHeight="true" outlineLevel="0" collapsed="false">
      <c r="A25" s="8" t="s">
        <v>108</v>
      </c>
    </row>
    <row r="26" customFormat="false" ht="15" hidden="false" customHeight="true" outlineLevel="0" collapsed="false">
      <c r="A26" s="8" t="s">
        <v>109</v>
      </c>
    </row>
  </sheetData>
  <dataValidations count="1">
    <dataValidation allowBlank="true" errorStyle="stop" operator="between" showDropDown="false" showErrorMessage="false" showInputMessage="false" sqref="P2:P21" type="list">
      <formula1>"Đạt,Cần sửa,Chưa duyệt"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8" min="6" style="0" width="8"/>
    <col collapsed="false" customWidth="true" hidden="false" outlineLevel="0" max="11" min="9" style="0" width="13"/>
    <col collapsed="false" customWidth="true" hidden="false" outlineLevel="0" max="14" min="12" style="0" width="15"/>
    <col collapsed="false" customWidth="true" hidden="false" outlineLevel="0" max="15" min="15" style="0" width="22"/>
    <col collapsed="false" customWidth="true" hidden="false" outlineLevel="0" max="16" min="16" style="0" width="48"/>
  </cols>
  <sheetData>
    <row r="1" customFormat="false" ht="60" hidden="false" customHeight="true" outlineLevel="0" collapsed="false">
      <c r="A1" s="2" t="s">
        <v>0</v>
      </c>
      <c r="B1" s="2" t="s">
        <v>110</v>
      </c>
      <c r="C1" s="2" t="s">
        <v>3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117</v>
      </c>
      <c r="K1" s="2" t="s">
        <v>118</v>
      </c>
      <c r="L1" s="2" t="s">
        <v>119</v>
      </c>
      <c r="M1" s="2" t="s">
        <v>120</v>
      </c>
      <c r="N1" s="2" t="s">
        <v>121</v>
      </c>
      <c r="O1" s="2" t="s">
        <v>122</v>
      </c>
      <c r="P1" s="2" t="s">
        <v>123</v>
      </c>
    </row>
    <row r="2" customFormat="false" ht="35.05" hidden="false" customHeight="false" outlineLevel="0" collapsed="false">
      <c r="A2" s="9" t="n">
        <f aca="false">'20 ma da xac minh'!A2</f>
        <v>1</v>
      </c>
      <c r="B2" s="9" t="str">
        <f aca="false">'20 ma da xac minh'!C2</f>
        <v>03061792</v>
      </c>
      <c r="C2" s="9" t="str">
        <f aca="false">'20 ma da xac minh'!D2</f>
        <v>Tôm chi Penaeus đông lạnh</v>
      </c>
      <c r="D2" s="10" t="n">
        <f aca="false">'20 ma da xac minh'!G2</f>
        <v>0</v>
      </c>
      <c r="E2" s="11" t="str">
        <f aca="false">'20 ma da xac minh'!K2</f>
        <v>Xuất xứ thuần tuý (có/không)</v>
      </c>
      <c r="F2" s="12" t="n">
        <f aca="false">'Tham so'!$B$15</f>
        <v>0.07</v>
      </c>
      <c r="G2" s="12" t="n">
        <f aca="false">'Tham so'!$B$16</f>
        <v>0.055</v>
      </c>
      <c r="H2" s="12" t="n">
        <f aca="false">'Tham so'!$B$17</f>
        <v>0.09</v>
      </c>
      <c r="I2" s="13" t="n">
        <f aca="false">'Tham so'!$B$4*(1+D2)*F2</f>
        <v>7000</v>
      </c>
      <c r="J2" s="13" t="n">
        <f aca="false">'Tham so'!$B$4*(1+D2)*G2</f>
        <v>5500</v>
      </c>
      <c r="K2" s="13" t="n">
        <f aca="false">'Tham so'!$B$4*(1+D2)*H2</f>
        <v>9000</v>
      </c>
      <c r="L2" s="13" t="n">
        <f aca="false">'Tham so'!$B$4*'20 ma da xac minh'!E2+'Tham so'!$B$4*(1+'20 ma da xac minh'!E2)*F2</f>
        <v>19840</v>
      </c>
      <c r="M2" s="13" t="n">
        <f aca="false">'Tham so'!$B$4*'20 ma da xac minh'!E2+'Tham so'!$B$4*(1+'20 ma da xac minh'!E2)*G2</f>
        <v>18160</v>
      </c>
      <c r="N2" s="13" t="n">
        <f aca="false">'Tham so'!$B$4*'20 ma da xac minh'!E2+'Tham so'!$B$4*(1+'20 ma da xac minh'!E2)*H2</f>
        <v>22080</v>
      </c>
      <c r="O2" s="11" t="s">
        <v>124</v>
      </c>
      <c r="P2" s="11" t="s">
        <v>125</v>
      </c>
    </row>
    <row r="3" customFormat="false" ht="35.05" hidden="false" customHeight="false" outlineLevel="0" collapsed="false">
      <c r="A3" s="9" t="n">
        <f aca="false">'20 ma da xac minh'!A3</f>
        <v>2</v>
      </c>
      <c r="B3" s="9" t="str">
        <f aca="false">'20 ma da xac minh'!C3</f>
        <v>03061799</v>
      </c>
      <c r="C3" s="9" t="str">
        <f aca="false">'20 ma da xac minh'!D3</f>
        <v>Tôm loại khác, đông lạnh</v>
      </c>
      <c r="D3" s="10" t="n">
        <f aca="false">'20 ma da xac minh'!G3</f>
        <v>0</v>
      </c>
      <c r="E3" s="11" t="str">
        <f aca="false">'20 ma da xac minh'!K3</f>
        <v>Xuất xứ thuần tuý (có/không)</v>
      </c>
      <c r="F3" s="12" t="n">
        <f aca="false">'Tham so'!$B$15</f>
        <v>0.07</v>
      </c>
      <c r="G3" s="12" t="n">
        <f aca="false">'Tham so'!$B$16</f>
        <v>0.055</v>
      </c>
      <c r="H3" s="12" t="n">
        <f aca="false">'Tham so'!$B$17</f>
        <v>0.09</v>
      </c>
      <c r="I3" s="13" t="n">
        <f aca="false">'Tham so'!$B$4*(1+D3)*F3</f>
        <v>7000</v>
      </c>
      <c r="J3" s="13" t="n">
        <f aca="false">'Tham so'!$B$4*(1+D3)*G3</f>
        <v>5500</v>
      </c>
      <c r="K3" s="13" t="n">
        <f aca="false">'Tham so'!$B$4*(1+D3)*H3</f>
        <v>9000</v>
      </c>
      <c r="L3" s="13" t="n">
        <f aca="false">'Tham so'!$B$4*'20 ma da xac minh'!E3+'Tham so'!$B$4*(1+'20 ma da xac minh'!E3)*F3</f>
        <v>19840</v>
      </c>
      <c r="M3" s="13" t="n">
        <f aca="false">'Tham so'!$B$4*'20 ma da xac minh'!E3+'Tham so'!$B$4*(1+'20 ma da xac minh'!E3)*G3</f>
        <v>18160</v>
      </c>
      <c r="N3" s="13" t="n">
        <f aca="false">'Tham so'!$B$4*'20 ma da xac minh'!E3+'Tham so'!$B$4*(1+'20 ma da xac minh'!E3)*H3</f>
        <v>22080</v>
      </c>
      <c r="O3" s="11" t="s">
        <v>124</v>
      </c>
      <c r="P3" s="11" t="s">
        <v>125</v>
      </c>
    </row>
    <row r="4" customFormat="false" ht="35.05" hidden="false" customHeight="false" outlineLevel="0" collapsed="false">
      <c r="A4" s="9" t="n">
        <f aca="false">'20 ma da xac minh'!A4</f>
        <v>3</v>
      </c>
      <c r="B4" s="9" t="str">
        <f aca="false">'20 ma da xac minh'!C4</f>
        <v>03046200</v>
      </c>
      <c r="C4" s="9" t="str">
        <f aca="false">'20 ma da xac minh'!D4</f>
        <v>Phi lê cá tra đông lạnh</v>
      </c>
      <c r="D4" s="10" t="n">
        <f aca="false">'20 ma da xac minh'!G4</f>
        <v>0</v>
      </c>
      <c r="E4" s="11" t="str">
        <f aca="false">'20 ma da xac minh'!K4</f>
        <v>Nguyên liệu xuất xứ thuần tuý (có/không)</v>
      </c>
      <c r="F4" s="12" t="n">
        <f aca="false">'Tham so'!$B$15</f>
        <v>0.07</v>
      </c>
      <c r="G4" s="12" t="n">
        <f aca="false">'Tham so'!$B$16</f>
        <v>0.055</v>
      </c>
      <c r="H4" s="12" t="n">
        <f aca="false">'Tham so'!$B$17</f>
        <v>0.09</v>
      </c>
      <c r="I4" s="13" t="n">
        <f aca="false">'Tham so'!$B$4*(1+D4)*F4</f>
        <v>7000</v>
      </c>
      <c r="J4" s="13" t="n">
        <f aca="false">'Tham so'!$B$4*(1+D4)*G4</f>
        <v>5500</v>
      </c>
      <c r="K4" s="13" t="n">
        <f aca="false">'Tham so'!$B$4*(1+D4)*H4</f>
        <v>9000</v>
      </c>
      <c r="L4" s="13" t="n">
        <f aca="false">'Tham so'!$B$4*'20 ma da xac minh'!E4+'Tham so'!$B$4*(1+'20 ma da xac minh'!E4)*F4</f>
        <v>12885</v>
      </c>
      <c r="M4" s="13" t="n">
        <f aca="false">'Tham so'!$B$4*'20 ma da xac minh'!E4+'Tham so'!$B$4*(1+'20 ma da xac minh'!E4)*G4</f>
        <v>11302.5</v>
      </c>
      <c r="N4" s="13" t="n">
        <f aca="false">'Tham so'!$B$4*'20 ma da xac minh'!E4+'Tham so'!$B$4*(1+'20 ma da xac minh'!E4)*H4</f>
        <v>14995</v>
      </c>
      <c r="O4" s="11" t="s">
        <v>124</v>
      </c>
      <c r="P4" s="11" t="s">
        <v>125</v>
      </c>
    </row>
    <row r="5" customFormat="false" ht="35.05" hidden="false" customHeight="false" outlineLevel="0" collapsed="false">
      <c r="A5" s="9" t="n">
        <f aca="false">'20 ma da xac minh'!A5</f>
        <v>4</v>
      </c>
      <c r="B5" s="9" t="str">
        <f aca="false">'20 ma da xac minh'!C5</f>
        <v>03043200</v>
      </c>
      <c r="C5" s="9" t="str">
        <f aca="false">'20 ma da xac minh'!D5</f>
        <v>Phi lê cá tra tươi/ướp lạnh</v>
      </c>
      <c r="D5" s="10" t="n">
        <f aca="false">'20 ma da xac minh'!G5</f>
        <v>0</v>
      </c>
      <c r="E5" s="11" t="str">
        <f aca="false">'20 ma da xac minh'!K5</f>
        <v>Nguyên liệu xuất xứ thuần tuý (có/không)</v>
      </c>
      <c r="F5" s="12" t="n">
        <f aca="false">'Tham so'!$B$15</f>
        <v>0.07</v>
      </c>
      <c r="G5" s="12" t="n">
        <f aca="false">'Tham so'!$B$16</f>
        <v>0.055</v>
      </c>
      <c r="H5" s="12" t="n">
        <f aca="false">'Tham so'!$B$17</f>
        <v>0.09</v>
      </c>
      <c r="I5" s="13" t="n">
        <f aca="false">'Tham so'!$B$4*(1+D5)*F5</f>
        <v>7000</v>
      </c>
      <c r="J5" s="13" t="n">
        <f aca="false">'Tham so'!$B$4*(1+D5)*G5</f>
        <v>5500</v>
      </c>
      <c r="K5" s="13" t="n">
        <f aca="false">'Tham so'!$B$4*(1+D5)*H5</f>
        <v>9000</v>
      </c>
      <c r="L5" s="13" t="n">
        <f aca="false">'Tham so'!$B$4*'20 ma da xac minh'!E5+'Tham so'!$B$4*(1+'20 ma da xac minh'!E5)*F5</f>
        <v>16630</v>
      </c>
      <c r="M5" s="13" t="n">
        <f aca="false">'Tham so'!$B$4*'20 ma da xac minh'!E5+'Tham so'!$B$4*(1+'20 ma da xac minh'!E5)*G5</f>
        <v>14995</v>
      </c>
      <c r="N5" s="13" t="n">
        <f aca="false">'Tham so'!$B$4*'20 ma da xac minh'!E5+'Tham so'!$B$4*(1+'20 ma da xac minh'!E5)*H5</f>
        <v>18810</v>
      </c>
      <c r="O5" s="11" t="s">
        <v>124</v>
      </c>
      <c r="P5" s="11" t="s">
        <v>125</v>
      </c>
    </row>
    <row r="6" customFormat="false" ht="35.05" hidden="false" customHeight="false" outlineLevel="0" collapsed="false">
      <c r="A6" s="9" t="n">
        <f aca="false">'20 ma da xac minh'!A6</f>
        <v>5</v>
      </c>
      <c r="B6" s="9" t="str">
        <f aca="false">'20 ma da xac minh'!C6</f>
        <v>03032400</v>
      </c>
      <c r="C6" s="9" t="str">
        <f aca="false">'20 ma da xac minh'!D6</f>
        <v>Cá tra/cá da trơn nguyên con đông lạnh</v>
      </c>
      <c r="D6" s="10" t="n">
        <f aca="false">'20 ma da xac minh'!G6</f>
        <v>0</v>
      </c>
      <c r="E6" s="11" t="str">
        <f aca="false">'20 ma da xac minh'!K6</f>
        <v>Xuất xứ thuần tuý (có/không)</v>
      </c>
      <c r="F6" s="12" t="n">
        <f aca="false">'Tham so'!$B$15</f>
        <v>0.07</v>
      </c>
      <c r="G6" s="12" t="n">
        <f aca="false">'Tham so'!$B$16</f>
        <v>0.055</v>
      </c>
      <c r="H6" s="12" t="n">
        <f aca="false">'Tham so'!$B$17</f>
        <v>0.09</v>
      </c>
      <c r="I6" s="13" t="n">
        <f aca="false">'Tham so'!$B$4*(1+D6)*F6</f>
        <v>7000</v>
      </c>
      <c r="J6" s="13" t="n">
        <f aca="false">'Tham so'!$B$4*(1+D6)*G6</f>
        <v>5500</v>
      </c>
      <c r="K6" s="13" t="n">
        <f aca="false">'Tham so'!$B$4*(1+D6)*H6</f>
        <v>9000</v>
      </c>
      <c r="L6" s="13" t="n">
        <f aca="false">'Tham so'!$B$4*'20 ma da xac minh'!E6+'Tham so'!$B$4*(1+'20 ma da xac minh'!E6)*F6</f>
        <v>15560</v>
      </c>
      <c r="M6" s="13" t="n">
        <f aca="false">'Tham so'!$B$4*'20 ma da xac minh'!E6+'Tham so'!$B$4*(1+'20 ma da xac minh'!E6)*G6</f>
        <v>13940</v>
      </c>
      <c r="N6" s="13" t="n">
        <f aca="false">'Tham so'!$B$4*'20 ma da xac minh'!E6+'Tham so'!$B$4*(1+'20 ma da xac minh'!E6)*H6</f>
        <v>17720</v>
      </c>
      <c r="O6" s="11" t="s">
        <v>124</v>
      </c>
      <c r="P6" s="11" t="s">
        <v>125</v>
      </c>
    </row>
    <row r="7" customFormat="false" ht="35.05" hidden="false" customHeight="false" outlineLevel="0" collapsed="false">
      <c r="A7" s="9" t="n">
        <f aca="false">'20 ma da xac minh'!A7</f>
        <v>6</v>
      </c>
      <c r="B7" s="9" t="str">
        <f aca="false">'20 ma da xac minh'!C7</f>
        <v>03048700</v>
      </c>
      <c r="C7" s="9" t="str">
        <f aca="false">'20 ma da xac minh'!D7</f>
        <v>Phi lê cá ngừ đông lạnh</v>
      </c>
      <c r="D7" s="10" t="n">
        <f aca="false">'20 ma da xac minh'!G7</f>
        <v>0</v>
      </c>
      <c r="E7" s="11" t="str">
        <f aca="false">'20 ma da xac minh'!K7</f>
        <v>Nguyên liệu xuất xứ thuần tuý + điều kiện tàu</v>
      </c>
      <c r="F7" s="12" t="n">
        <f aca="false">'Tham so'!$B$15</f>
        <v>0.07</v>
      </c>
      <c r="G7" s="12" t="n">
        <f aca="false">'Tham so'!$B$16</f>
        <v>0.055</v>
      </c>
      <c r="H7" s="12" t="n">
        <f aca="false">'Tham so'!$B$17</f>
        <v>0.09</v>
      </c>
      <c r="I7" s="13" t="n">
        <f aca="false">'Tham so'!$B$4*(1+D7)*F7</f>
        <v>7000</v>
      </c>
      <c r="J7" s="13" t="n">
        <f aca="false">'Tham so'!$B$4*(1+D7)*G7</f>
        <v>5500</v>
      </c>
      <c r="K7" s="13" t="n">
        <f aca="false">'Tham so'!$B$4*(1+D7)*H7</f>
        <v>9000</v>
      </c>
      <c r="L7" s="13" t="n">
        <f aca="false">'Tham so'!$B$4*'20 ma da xac minh'!E7+'Tham so'!$B$4*(1+'20 ma da xac minh'!E7)*F7</f>
        <v>26260</v>
      </c>
      <c r="M7" s="13" t="n">
        <f aca="false">'Tham so'!$B$4*'20 ma da xac minh'!E7+'Tham so'!$B$4*(1+'20 ma da xac minh'!E7)*G7</f>
        <v>24490</v>
      </c>
      <c r="N7" s="13" t="n">
        <f aca="false">'Tham so'!$B$4*'20 ma da xac minh'!E7+'Tham so'!$B$4*(1+'20 ma da xac minh'!E7)*H7</f>
        <v>28620</v>
      </c>
      <c r="O7" s="11" t="s">
        <v>124</v>
      </c>
      <c r="P7" s="11" t="s">
        <v>125</v>
      </c>
    </row>
    <row r="8" customFormat="false" ht="35.05" hidden="false" customHeight="false" outlineLevel="0" collapsed="false">
      <c r="A8" s="9" t="n">
        <f aca="false">'20 ma da xac minh'!A8</f>
        <v>7</v>
      </c>
      <c r="B8" s="9" t="str">
        <f aca="false">'20 ma da xac minh'!C8</f>
        <v>03034290</v>
      </c>
      <c r="C8" s="9" t="str">
        <f aca="false">'20 ma da xac minh'!D8</f>
        <v>Cá ngừ vây vàng đông lạnh nguyên con (không dùng cho chế biến 1604)</v>
      </c>
      <c r="D8" s="10" t="n">
        <f aca="false">'20 ma da xac minh'!G8</f>
        <v>0</v>
      </c>
      <c r="E8" s="11" t="str">
        <f aca="false">'20 ma da xac minh'!K8</f>
        <v>Xuất xứ thuần tuý + điều kiện tàu</v>
      </c>
      <c r="F8" s="12" t="n">
        <f aca="false">'Tham so'!$B$15</f>
        <v>0.07</v>
      </c>
      <c r="G8" s="12" t="n">
        <f aca="false">'Tham so'!$B$16</f>
        <v>0.055</v>
      </c>
      <c r="H8" s="12" t="n">
        <f aca="false">'Tham so'!$B$17</f>
        <v>0.09</v>
      </c>
      <c r="I8" s="13" t="n">
        <f aca="false">'Tham so'!$B$4*(1+D8)*F8</f>
        <v>7000</v>
      </c>
      <c r="J8" s="13" t="n">
        <f aca="false">'Tham so'!$B$4*(1+D8)*G8</f>
        <v>5500</v>
      </c>
      <c r="K8" s="13" t="n">
        <f aca="false">'Tham so'!$B$4*(1+D8)*H8</f>
        <v>9000</v>
      </c>
      <c r="L8" s="13" t="n">
        <f aca="false">'Tham so'!$B$4*'20 ma da xac minh'!E8+'Tham so'!$B$4*(1+'20 ma da xac minh'!E8)*F8</f>
        <v>30540</v>
      </c>
      <c r="M8" s="13" t="n">
        <f aca="false">'Tham so'!$B$4*'20 ma da xac minh'!E8+'Tham so'!$B$4*(1+'20 ma da xac minh'!E8)*G8</f>
        <v>28710</v>
      </c>
      <c r="N8" s="13" t="n">
        <f aca="false">'Tham so'!$B$4*'20 ma da xac minh'!E8+'Tham so'!$B$4*(1+'20 ma da xac minh'!E8)*H8</f>
        <v>32980</v>
      </c>
      <c r="O8" s="11" t="s">
        <v>124</v>
      </c>
      <c r="P8" s="11" t="s">
        <v>125</v>
      </c>
    </row>
    <row r="9" customFormat="false" ht="35.05" hidden="false" customHeight="false" outlineLevel="0" collapsed="false">
      <c r="A9" s="9" t="n">
        <f aca="false">'20 ma da xac minh'!A9</f>
        <v>8</v>
      </c>
      <c r="B9" s="9" t="str">
        <f aca="false">'20 ma da xac minh'!C9</f>
        <v>03077100</v>
      </c>
      <c r="C9" s="9" t="str">
        <f aca="false">'20 ma da xac minh'!D9</f>
        <v>Nghêu, sò, điệp… sống/tươi/ướp lạnh</v>
      </c>
      <c r="D9" s="10" t="n">
        <f aca="false">'20 ma da xac minh'!G9</f>
        <v>0</v>
      </c>
      <c r="E9" s="11" t="str">
        <f aca="false">'20 ma da xac minh'!K9</f>
        <v>Xuất xứ thuần tuý (có/không)</v>
      </c>
      <c r="F9" s="12" t="n">
        <f aca="false">'Tham so'!$B$15</f>
        <v>0.07</v>
      </c>
      <c r="G9" s="12" t="n">
        <f aca="false">'Tham so'!$B$16</f>
        <v>0.055</v>
      </c>
      <c r="H9" s="12" t="n">
        <f aca="false">'Tham so'!$B$17</f>
        <v>0.09</v>
      </c>
      <c r="I9" s="13" t="n">
        <f aca="false">'Tham so'!$B$4*(1+D9)*F9</f>
        <v>7000</v>
      </c>
      <c r="J9" s="13" t="n">
        <f aca="false">'Tham so'!$B$4*(1+D9)*G9</f>
        <v>5500</v>
      </c>
      <c r="K9" s="13" t="n">
        <f aca="false">'Tham so'!$B$4*(1+D9)*H9</f>
        <v>9000</v>
      </c>
      <c r="L9" s="13" t="n">
        <f aca="false">'Tham so'!$B$4*'20 ma da xac minh'!E9+'Tham so'!$B$4*(1+'20 ma da xac minh'!E9)*F9</f>
        <v>18770</v>
      </c>
      <c r="M9" s="13" t="n">
        <f aca="false">'Tham so'!$B$4*'20 ma da xac minh'!E9+'Tham so'!$B$4*(1+'20 ma da xac minh'!E9)*G9</f>
        <v>17105</v>
      </c>
      <c r="N9" s="13" t="n">
        <f aca="false">'Tham so'!$B$4*'20 ma da xac minh'!E9+'Tham so'!$B$4*(1+'20 ma da xac minh'!E9)*H9</f>
        <v>20990</v>
      </c>
      <c r="O9" s="11" t="s">
        <v>124</v>
      </c>
      <c r="P9" s="11" t="s">
        <v>125</v>
      </c>
    </row>
    <row r="10" customFormat="false" ht="35.05" hidden="false" customHeight="false" outlineLevel="0" collapsed="false">
      <c r="A10" s="9" t="n">
        <f aca="false">'20 ma da xac minh'!A10</f>
        <v>9</v>
      </c>
      <c r="B10" s="9" t="str">
        <f aca="false">'20 ma da xac minh'!C10</f>
        <v>07123200</v>
      </c>
      <c r="C10" s="9" t="str">
        <f aca="false">'20 ma da xac minh'!D10</f>
        <v>Mộc nhĩ (Auricularia) khô</v>
      </c>
      <c r="D10" s="10" t="n">
        <f aca="false">'20 ma da xac minh'!G10</f>
        <v>0</v>
      </c>
      <c r="E10" s="11" t="str">
        <f aca="false">'20 ma da xac minh'!K10</f>
        <v>Nguyên liệu xuất xứ thuần tuý (có/không, dung sai 10%)</v>
      </c>
      <c r="F10" s="12" t="n">
        <f aca="false">'Tham so'!$B$15</f>
        <v>0.07</v>
      </c>
      <c r="G10" s="12" t="n">
        <f aca="false">'Tham so'!$B$16</f>
        <v>0.055</v>
      </c>
      <c r="H10" s="12" t="n">
        <f aca="false">'Tham so'!$B$17</f>
        <v>0.09</v>
      </c>
      <c r="I10" s="13" t="n">
        <f aca="false">'Tham so'!$B$4*(1+D10)*F10</f>
        <v>7000</v>
      </c>
      <c r="J10" s="13" t="n">
        <f aca="false">'Tham so'!$B$4*(1+D10)*G10</f>
        <v>5500</v>
      </c>
      <c r="K10" s="13" t="n">
        <f aca="false">'Tham so'!$B$4*(1+D10)*H10</f>
        <v>9000</v>
      </c>
      <c r="L10" s="13" t="n">
        <f aca="false">'Tham so'!$B$4*'20 ma da xac minh'!E10+'Tham so'!$B$4*(1+'20 ma da xac minh'!E10)*F10</f>
        <v>20696</v>
      </c>
      <c r="M10" s="13" t="n">
        <f aca="false">'Tham so'!$B$4*'20 ma da xac minh'!E10+'Tham so'!$B$4*(1+'20 ma da xac minh'!E10)*G10</f>
        <v>19004</v>
      </c>
      <c r="N10" s="13" t="n">
        <f aca="false">'Tham so'!$B$4*'20 ma da xac minh'!E10+'Tham so'!$B$4*(1+'20 ma da xac minh'!E10)*H10</f>
        <v>22952</v>
      </c>
      <c r="O10" s="11" t="s">
        <v>124</v>
      </c>
      <c r="P10" s="11" t="s">
        <v>126</v>
      </c>
    </row>
    <row r="11" customFormat="false" ht="35.05" hidden="false" customHeight="false" outlineLevel="0" collapsed="false">
      <c r="A11" s="9" t="n">
        <f aca="false">'20 ma da xac minh'!A11</f>
        <v>10</v>
      </c>
      <c r="B11" s="9" t="str">
        <f aca="false">'20 ma da xac minh'!C11</f>
        <v>07123900</v>
      </c>
      <c r="C11" s="9" t="str">
        <f aca="false">'20 ma da xac minh'!D11</f>
        <v>Nấm khô loại khác (nấm hương…)</v>
      </c>
      <c r="D11" s="10" t="n">
        <f aca="false">'20 ma da xac minh'!G11</f>
        <v>0</v>
      </c>
      <c r="E11" s="11" t="str">
        <f aca="false">'20 ma da xac minh'!K11</f>
        <v>Nguyên liệu xuất xứ thuần tuý (có/không, dung sai 10%)</v>
      </c>
      <c r="F11" s="12" t="n">
        <f aca="false">'Tham so'!$B$15</f>
        <v>0.07</v>
      </c>
      <c r="G11" s="12" t="n">
        <f aca="false">'Tham so'!$B$16</f>
        <v>0.055</v>
      </c>
      <c r="H11" s="12" t="n">
        <f aca="false">'Tham so'!$B$17</f>
        <v>0.09</v>
      </c>
      <c r="I11" s="13" t="n">
        <f aca="false">'Tham so'!$B$4*(1+D11)*F11</f>
        <v>7000</v>
      </c>
      <c r="J11" s="13" t="n">
        <f aca="false">'Tham so'!$B$4*(1+D11)*G11</f>
        <v>5500</v>
      </c>
      <c r="K11" s="13" t="n">
        <f aca="false">'Tham so'!$B$4*(1+D11)*H11</f>
        <v>9000</v>
      </c>
      <c r="L11" s="13" t="n">
        <f aca="false">'Tham so'!$B$4*'20 ma da xac minh'!E11+'Tham so'!$B$4*(1+'20 ma da xac minh'!E11)*F11</f>
        <v>20696</v>
      </c>
      <c r="M11" s="13" t="n">
        <f aca="false">'Tham so'!$B$4*'20 ma da xac minh'!E11+'Tham so'!$B$4*(1+'20 ma da xac minh'!E11)*G11</f>
        <v>19004</v>
      </c>
      <c r="N11" s="13" t="n">
        <f aca="false">'Tham so'!$B$4*'20 ma da xac minh'!E11+'Tham so'!$B$4*(1+'20 ma da xac minh'!E11)*H11</f>
        <v>22952</v>
      </c>
      <c r="O11" s="11" t="s">
        <v>124</v>
      </c>
      <c r="P11" s="11" t="s">
        <v>126</v>
      </c>
    </row>
    <row r="12" customFormat="false" ht="35.05" hidden="false" customHeight="false" outlineLevel="0" collapsed="false">
      <c r="A12" s="9" t="n">
        <f aca="false">'20 ma da xac minh'!A12</f>
        <v>11</v>
      </c>
      <c r="B12" s="9" t="str">
        <f aca="false">'20 ma da xac minh'!C12</f>
        <v>07108069</v>
      </c>
      <c r="C12" s="9" t="str">
        <f aca="false">'20 ma da xac minh'!D12</f>
        <v>Nấm đông lạnh loại khác</v>
      </c>
      <c r="D12" s="10" t="n">
        <f aca="false">'20 ma da xac minh'!G12</f>
        <v>0</v>
      </c>
      <c r="E12" s="11" t="str">
        <f aca="false">'20 ma da xac minh'!K12</f>
        <v>Nguyên liệu xuất xứ thuần tuý (có/không, dung sai 10%)</v>
      </c>
      <c r="F12" s="12" t="n">
        <f aca="false">'Tham so'!$B$15</f>
        <v>0.07</v>
      </c>
      <c r="G12" s="12" t="n">
        <f aca="false">'Tham so'!$B$16</f>
        <v>0.055</v>
      </c>
      <c r="H12" s="12" t="n">
        <f aca="false">'Tham so'!$B$17</f>
        <v>0.09</v>
      </c>
      <c r="I12" s="13" t="n">
        <f aca="false">'Tham so'!$B$4*(1+D12)*F12</f>
        <v>7000</v>
      </c>
      <c r="J12" s="13" t="n">
        <f aca="false">'Tham so'!$B$4*(1+D12)*G12</f>
        <v>5500</v>
      </c>
      <c r="K12" s="13" t="n">
        <f aca="false">'Tham so'!$B$4*(1+D12)*H12</f>
        <v>9000</v>
      </c>
      <c r="L12" s="13" t="n">
        <f aca="false">'Tham so'!$B$4*'20 ma da xac minh'!E12+'Tham so'!$B$4*(1+'20 ma da xac minh'!E12)*F12</f>
        <v>22408</v>
      </c>
      <c r="M12" s="13" t="n">
        <f aca="false">'Tham so'!$B$4*'20 ma da xac minh'!E12+'Tham so'!$B$4*(1+'20 ma da xac minh'!E12)*G12</f>
        <v>20692</v>
      </c>
      <c r="N12" s="13" t="n">
        <f aca="false">'Tham so'!$B$4*'20 ma da xac minh'!E12+'Tham so'!$B$4*(1+'20 ma da xac minh'!E12)*H12</f>
        <v>24696</v>
      </c>
      <c r="O12" s="11" t="s">
        <v>124</v>
      </c>
      <c r="P12" s="11" t="s">
        <v>126</v>
      </c>
    </row>
    <row r="13" customFormat="false" ht="35.05" hidden="false" customHeight="false" outlineLevel="0" collapsed="false">
      <c r="A13" s="9" t="n">
        <f aca="false">'20 ma da xac minh'!A13</f>
        <v>12</v>
      </c>
      <c r="B13" s="9" t="str">
        <f aca="false">'20 ma da xac minh'!C13</f>
        <v>07108095</v>
      </c>
      <c r="C13" s="9" t="str">
        <f aca="false">'20 ma da xac minh'!D13</f>
        <v>Rau đông lạnh loại khác (đậu bắp, rau muống…)</v>
      </c>
      <c r="D13" s="10" t="n">
        <f aca="false">'20 ma da xac minh'!G13</f>
        <v>0</v>
      </c>
      <c r="E13" s="11" t="str">
        <f aca="false">'20 ma da xac minh'!K13</f>
        <v>Nguyên liệu xuất xứ thuần tuý (có/không, dung sai 10%)</v>
      </c>
      <c r="F13" s="12" t="n">
        <f aca="false">'Tham so'!$B$15</f>
        <v>0.07</v>
      </c>
      <c r="G13" s="12" t="n">
        <f aca="false">'Tham so'!$B$16</f>
        <v>0.055</v>
      </c>
      <c r="H13" s="12" t="n">
        <f aca="false">'Tham so'!$B$17</f>
        <v>0.09</v>
      </c>
      <c r="I13" s="13" t="n">
        <f aca="false">'Tham so'!$B$4*(1+D13)*F13</f>
        <v>7000</v>
      </c>
      <c r="J13" s="13" t="n">
        <f aca="false">'Tham so'!$B$4*(1+D13)*G13</f>
        <v>5500</v>
      </c>
      <c r="K13" s="13" t="n">
        <f aca="false">'Tham so'!$B$4*(1+D13)*H13</f>
        <v>9000</v>
      </c>
      <c r="L13" s="13" t="n">
        <f aca="false">'Tham so'!$B$4*'20 ma da xac minh'!E13+'Tham so'!$B$4*(1+'20 ma da xac minh'!E13)*F13</f>
        <v>22408</v>
      </c>
      <c r="M13" s="13" t="n">
        <f aca="false">'Tham so'!$B$4*'20 ma da xac minh'!E13+'Tham so'!$B$4*(1+'20 ma da xac minh'!E13)*G13</f>
        <v>20692</v>
      </c>
      <c r="N13" s="13" t="n">
        <f aca="false">'Tham so'!$B$4*'20 ma da xac minh'!E13+'Tham so'!$B$4*(1+'20 ma da xac minh'!E13)*H13</f>
        <v>24696</v>
      </c>
      <c r="O13" s="11" t="s">
        <v>124</v>
      </c>
      <c r="P13" s="11" t="s">
        <v>126</v>
      </c>
    </row>
    <row r="14" customFormat="false" ht="35.05" hidden="false" customHeight="false" outlineLevel="0" collapsed="false">
      <c r="A14" s="9" t="n">
        <f aca="false">'20 ma da xac minh'!A14</f>
        <v>13</v>
      </c>
      <c r="B14" s="9" t="str">
        <f aca="false">'20 ma da xac minh'!C14</f>
        <v>07096099</v>
      </c>
      <c r="C14" s="9" t="str">
        <f aca="false">'20 ma da xac minh'!D14</f>
        <v>Ớt tươi (chi Capsicum/Pimenta) loại khác</v>
      </c>
      <c r="D14" s="10" t="n">
        <f aca="false">'20 ma da xac minh'!G14</f>
        <v>0</v>
      </c>
      <c r="E14" s="11" t="str">
        <f aca="false">'20 ma da xac minh'!K14</f>
        <v>Nguyên liệu xuất xứ thuần tuý (có/không, dung sai 10%)</v>
      </c>
      <c r="F14" s="12" t="n">
        <f aca="false">'Tham so'!$B$15</f>
        <v>0.07</v>
      </c>
      <c r="G14" s="12" t="n">
        <f aca="false">'Tham so'!$B$16</f>
        <v>0.055</v>
      </c>
      <c r="H14" s="12" t="n">
        <f aca="false">'Tham so'!$B$17</f>
        <v>0.09</v>
      </c>
      <c r="I14" s="13" t="n">
        <f aca="false">'Tham so'!$B$4*(1+D14)*F14</f>
        <v>7000</v>
      </c>
      <c r="J14" s="13" t="n">
        <f aca="false">'Tham so'!$B$4*(1+D14)*G14</f>
        <v>5500</v>
      </c>
      <c r="K14" s="13" t="n">
        <f aca="false">'Tham so'!$B$4*(1+D14)*H14</f>
        <v>9000</v>
      </c>
      <c r="L14" s="13" t="n">
        <f aca="false">'Tham so'!$B$4*'20 ma da xac minh'!E14+'Tham so'!$B$4*(1+'20 ma da xac minh'!E14)*F14</f>
        <v>13848</v>
      </c>
      <c r="M14" s="13" t="n">
        <f aca="false">'Tham so'!$B$4*'20 ma da xac minh'!E14+'Tham so'!$B$4*(1+'20 ma da xac minh'!E14)*G14</f>
        <v>12252</v>
      </c>
      <c r="N14" s="13" t="n">
        <f aca="false">'Tham so'!$B$4*'20 ma da xac minh'!E14+'Tham so'!$B$4*(1+'20 ma da xac minh'!E14)*H14</f>
        <v>15976</v>
      </c>
      <c r="O14" s="11" t="s">
        <v>124</v>
      </c>
      <c r="P14" s="11" t="s">
        <v>126</v>
      </c>
    </row>
    <row r="15" customFormat="false" ht="35.05" hidden="false" customHeight="false" outlineLevel="0" collapsed="false">
      <c r="A15" s="9" t="n">
        <f aca="false">'20 ma da xac minh'!A15</f>
        <v>14</v>
      </c>
      <c r="B15" s="9" t="str">
        <f aca="false">'20 ma da xac minh'!C15</f>
        <v>08106000</v>
      </c>
      <c r="C15" s="9" t="str">
        <f aca="false">'20 ma da xac minh'!D15</f>
        <v>Sầu riêng tươi</v>
      </c>
      <c r="D15" s="10" t="n">
        <f aca="false">'20 ma da xac minh'!G15</f>
        <v>0</v>
      </c>
      <c r="E15" s="11" t="str">
        <f aca="false">'20 ma da xac minh'!K15</f>
        <v>Nguyên liệu thuần tuý + ngưỡng đường 20%</v>
      </c>
      <c r="F15" s="12" t="n">
        <f aca="false">'Tham so'!$B$15</f>
        <v>0.07</v>
      </c>
      <c r="G15" s="12" t="n">
        <f aca="false">'Tham so'!$B$16</f>
        <v>0.055</v>
      </c>
      <c r="H15" s="12" t="n">
        <f aca="false">'Tham so'!$B$17</f>
        <v>0.09</v>
      </c>
      <c r="I15" s="13" t="n">
        <f aca="false">'Tham so'!$B$4*(1+D15)*F15</f>
        <v>7000</v>
      </c>
      <c r="J15" s="13" t="n">
        <f aca="false">'Tham so'!$B$4*(1+D15)*G15</f>
        <v>5500</v>
      </c>
      <c r="K15" s="13" t="n">
        <f aca="false">'Tham so'!$B$4*(1+D15)*H15</f>
        <v>9000</v>
      </c>
      <c r="L15" s="13" t="n">
        <f aca="false">'Tham so'!$B$4*'20 ma da xac minh'!E15+'Tham so'!$B$4*(1+'20 ma da xac minh'!E15)*F15</f>
        <v>16416</v>
      </c>
      <c r="M15" s="13" t="n">
        <f aca="false">'Tham so'!$B$4*'20 ma da xac minh'!E15+'Tham so'!$B$4*(1+'20 ma da xac minh'!E15)*G15</f>
        <v>14784</v>
      </c>
      <c r="N15" s="13" t="n">
        <f aca="false">'Tham so'!$B$4*'20 ma da xac minh'!E15+'Tham so'!$B$4*(1+'20 ma da xac minh'!E15)*H15</f>
        <v>18592</v>
      </c>
      <c r="O15" s="11" t="s">
        <v>124</v>
      </c>
      <c r="P15" s="11" t="s">
        <v>126</v>
      </c>
    </row>
    <row r="16" customFormat="false" ht="35.05" hidden="false" customHeight="false" outlineLevel="0" collapsed="false">
      <c r="A16" s="9" t="n">
        <f aca="false">'20 ma da xac minh'!A16</f>
        <v>15</v>
      </c>
      <c r="B16" s="9" t="str">
        <f aca="false">'20 ma da xac minh'!C16</f>
        <v>08109075</v>
      </c>
      <c r="C16" s="9" t="str">
        <f aca="false">'20 ma da xac minh'!D16</f>
        <v>Trái cây tươi loại khác (nhãn, chôm chôm…)</v>
      </c>
      <c r="D16" s="10" t="n">
        <f aca="false">'20 ma da xac minh'!G16</f>
        <v>0</v>
      </c>
      <c r="E16" s="11" t="str">
        <f aca="false">'20 ma da xac minh'!K16</f>
        <v>Nguyên liệu thuần tuý + ngưỡng đường 20%</v>
      </c>
      <c r="F16" s="12" t="n">
        <f aca="false">'Tham so'!$B$15</f>
        <v>0.07</v>
      </c>
      <c r="G16" s="12" t="n">
        <f aca="false">'Tham so'!$B$16</f>
        <v>0.055</v>
      </c>
      <c r="H16" s="12" t="n">
        <f aca="false">'Tham so'!$B$17</f>
        <v>0.09</v>
      </c>
      <c r="I16" s="13" t="n">
        <f aca="false">'Tham so'!$B$4*(1+D16)*F16</f>
        <v>7000</v>
      </c>
      <c r="J16" s="13" t="n">
        <f aca="false">'Tham so'!$B$4*(1+D16)*G16</f>
        <v>5500</v>
      </c>
      <c r="K16" s="13" t="n">
        <f aca="false">'Tham so'!$B$4*(1+D16)*H16</f>
        <v>9000</v>
      </c>
      <c r="L16" s="13" t="n">
        <f aca="false">'Tham so'!$B$4*'20 ma da xac minh'!E16+'Tham so'!$B$4*(1+'20 ma da xac minh'!E16)*F16</f>
        <v>16416</v>
      </c>
      <c r="M16" s="13" t="n">
        <f aca="false">'Tham so'!$B$4*'20 ma da xac minh'!E16+'Tham so'!$B$4*(1+'20 ma da xac minh'!E16)*G16</f>
        <v>14784</v>
      </c>
      <c r="N16" s="13" t="n">
        <f aca="false">'Tham so'!$B$4*'20 ma da xac minh'!E16+'Tham so'!$B$4*(1+'20 ma da xac minh'!E16)*H16</f>
        <v>18592</v>
      </c>
      <c r="O16" s="11" t="s">
        <v>124</v>
      </c>
      <c r="P16" s="11" t="s">
        <v>126</v>
      </c>
    </row>
    <row r="17" customFormat="false" ht="35.05" hidden="false" customHeight="false" outlineLevel="0" collapsed="false">
      <c r="A17" s="9" t="n">
        <f aca="false">'20 ma da xac minh'!A17</f>
        <v>16</v>
      </c>
      <c r="B17" s="9" t="str">
        <f aca="false">'20 ma da xac minh'!C17</f>
        <v>08119085</v>
      </c>
      <c r="C17" s="9" t="str">
        <f aca="false">'20 ma da xac minh'!D17</f>
        <v>Trái cây nhiệt đới đông lạnh, không thêm đường</v>
      </c>
      <c r="D17" s="10" t="n">
        <f aca="false">'20 ma da xac minh'!G17</f>
        <v>0</v>
      </c>
      <c r="E17" s="11" t="str">
        <f aca="false">'20 ma da xac minh'!K17</f>
        <v>Nguyên liệu thuần tuý + ngưỡng đường 20%</v>
      </c>
      <c r="F17" s="12" t="n">
        <f aca="false">'Tham so'!$B$15</f>
        <v>0.07</v>
      </c>
      <c r="G17" s="12" t="n">
        <f aca="false">'Tham so'!$B$16</f>
        <v>0.055</v>
      </c>
      <c r="H17" s="12" t="n">
        <f aca="false">'Tham so'!$B$17</f>
        <v>0.09</v>
      </c>
      <c r="I17" s="13" t="n">
        <f aca="false">'Tham so'!$B$4*(1+D17)*F17</f>
        <v>7000</v>
      </c>
      <c r="J17" s="13" t="n">
        <f aca="false">'Tham so'!$B$4*(1+D17)*G17</f>
        <v>5500</v>
      </c>
      <c r="K17" s="13" t="n">
        <f aca="false">'Tham so'!$B$4*(1+D17)*H17</f>
        <v>9000</v>
      </c>
      <c r="L17" s="13" t="n">
        <f aca="false">'Tham so'!$B$4*'20 ma da xac minh'!E17+'Tham so'!$B$4*(1+'20 ma da xac minh'!E17)*F17</f>
        <v>16630</v>
      </c>
      <c r="M17" s="13" t="n">
        <f aca="false">'Tham so'!$B$4*'20 ma da xac minh'!E17+'Tham so'!$B$4*(1+'20 ma da xac minh'!E17)*G17</f>
        <v>14995</v>
      </c>
      <c r="N17" s="13" t="n">
        <f aca="false">'Tham so'!$B$4*'20 ma da xac minh'!E17+'Tham so'!$B$4*(1+'20 ma da xac minh'!E17)*H17</f>
        <v>18810</v>
      </c>
      <c r="O17" s="11" t="s">
        <v>124</v>
      </c>
      <c r="P17" s="11" t="s">
        <v>126</v>
      </c>
    </row>
    <row r="18" customFormat="false" ht="35.05" hidden="false" customHeight="false" outlineLevel="0" collapsed="false">
      <c r="A18" s="9" t="n">
        <f aca="false">'20 ma da xac minh'!A18</f>
        <v>17</v>
      </c>
      <c r="B18" s="9" t="str">
        <f aca="false">'20 ma da xac minh'!C18</f>
        <v>08043000</v>
      </c>
      <c r="C18" s="9" t="str">
        <f aca="false">'20 ma da xac minh'!D18</f>
        <v>Dứa tươi hoặc khô</v>
      </c>
      <c r="D18" s="10" t="n">
        <f aca="false">'20 ma da xac minh'!G18</f>
        <v>0</v>
      </c>
      <c r="E18" s="11" t="str">
        <f aca="false">'20 ma da xac minh'!K18</f>
        <v>Nguyên liệu thuần tuý + ngưỡng đường 20%</v>
      </c>
      <c r="F18" s="12" t="n">
        <f aca="false">'Tham so'!$B$15</f>
        <v>0.07</v>
      </c>
      <c r="G18" s="12" t="n">
        <f aca="false">'Tham so'!$B$16</f>
        <v>0.055</v>
      </c>
      <c r="H18" s="12" t="n">
        <f aca="false">'Tham so'!$B$17</f>
        <v>0.09</v>
      </c>
      <c r="I18" s="13" t="n">
        <f aca="false">'Tham so'!$B$4*(1+D18)*F18</f>
        <v>7000</v>
      </c>
      <c r="J18" s="13" t="n">
        <f aca="false">'Tham so'!$B$4*(1+D18)*G18</f>
        <v>5500</v>
      </c>
      <c r="K18" s="13" t="n">
        <f aca="false">'Tham so'!$B$4*(1+D18)*H18</f>
        <v>9000</v>
      </c>
      <c r="L18" s="13" t="n">
        <f aca="false">'Tham so'!$B$4*'20 ma da xac minh'!E18+'Tham so'!$B$4*(1+'20 ma da xac minh'!E18)*F18</f>
        <v>13206</v>
      </c>
      <c r="M18" s="13" t="n">
        <f aca="false">'Tham so'!$B$4*'20 ma da xac minh'!E18+'Tham so'!$B$4*(1+'20 ma da xac minh'!E18)*G18</f>
        <v>11619</v>
      </c>
      <c r="N18" s="13" t="n">
        <f aca="false">'Tham so'!$B$4*'20 ma da xac minh'!E18+'Tham so'!$B$4*(1+'20 ma da xac minh'!E18)*H18</f>
        <v>15322</v>
      </c>
      <c r="O18" s="11" t="s">
        <v>124</v>
      </c>
      <c r="P18" s="11" t="s">
        <v>126</v>
      </c>
    </row>
    <row r="19" customFormat="false" ht="35.05" hidden="false" customHeight="false" outlineLevel="0" collapsed="false">
      <c r="A19" s="9" t="n">
        <f aca="false">'20 ma da xac minh'!A19</f>
        <v>18</v>
      </c>
      <c r="B19" s="9" t="str">
        <f aca="false">'20 ma da xac minh'!C19</f>
        <v>08055090</v>
      </c>
      <c r="C19" s="9" t="str">
        <f aca="false">'20 ma da xac minh'!D19</f>
        <v>Chanh (limes) tươi hoặc khô</v>
      </c>
      <c r="D19" s="10" t="n">
        <f aca="false">'20 ma da xac minh'!G19</f>
        <v>0</v>
      </c>
      <c r="E19" s="11" t="str">
        <f aca="false">'20 ma da xac minh'!K19</f>
        <v>Nguyên liệu thuần tuý + ngưỡng đường 20%</v>
      </c>
      <c r="F19" s="12" t="n">
        <f aca="false">'Tham so'!$B$15</f>
        <v>0.07</v>
      </c>
      <c r="G19" s="12" t="n">
        <f aca="false">'Tham so'!$B$16</f>
        <v>0.055</v>
      </c>
      <c r="H19" s="12" t="n">
        <f aca="false">'Tham so'!$B$17</f>
        <v>0.09</v>
      </c>
      <c r="I19" s="13" t="n">
        <f aca="false">'Tham so'!$B$4*(1+D19)*F19</f>
        <v>7000</v>
      </c>
      <c r="J19" s="13" t="n">
        <f aca="false">'Tham so'!$B$4*(1+D19)*G19</f>
        <v>5500</v>
      </c>
      <c r="K19" s="13" t="n">
        <f aca="false">'Tham so'!$B$4*(1+D19)*H19</f>
        <v>9000</v>
      </c>
      <c r="L19" s="13" t="n">
        <f aca="false">'Tham so'!$B$4*'20 ma da xac minh'!E19+'Tham so'!$B$4*(1+'20 ma da xac minh'!E19)*F19</f>
        <v>20696</v>
      </c>
      <c r="M19" s="13" t="n">
        <f aca="false">'Tham so'!$B$4*'20 ma da xac minh'!E19+'Tham so'!$B$4*(1+'20 ma da xac minh'!E19)*G19</f>
        <v>19004</v>
      </c>
      <c r="N19" s="13" t="n">
        <f aca="false">'Tham so'!$B$4*'20 ma da xac minh'!E19+'Tham so'!$B$4*(1+'20 ma da xac minh'!E19)*H19</f>
        <v>22952</v>
      </c>
      <c r="O19" s="11" t="s">
        <v>124</v>
      </c>
      <c r="P19" s="11" t="s">
        <v>126</v>
      </c>
    </row>
    <row r="20" customFormat="false" ht="35.05" hidden="false" customHeight="false" outlineLevel="0" collapsed="false">
      <c r="A20" s="9" t="n">
        <f aca="false">'20 ma da xac minh'!A20</f>
        <v>19</v>
      </c>
      <c r="B20" s="9" t="str">
        <f aca="false">'20 ma da xac minh'!C20</f>
        <v>08013200</v>
      </c>
      <c r="C20" s="9" t="str">
        <f aca="false">'20 ma da xac minh'!D20</f>
        <v>Hạt điều đã bóc vỏ</v>
      </c>
      <c r="D20" s="10" t="n">
        <f aca="false">'20 ma da xac minh'!G20</f>
        <v>0</v>
      </c>
      <c r="E20" s="11" t="str">
        <f aca="false">'20 ma da xac minh'!K20</f>
        <v>Nguyên liệu thuần tuý + ngưỡng đường 20%</v>
      </c>
      <c r="F20" s="12" t="n">
        <f aca="false">'Tham so'!$B$15</f>
        <v>0.07</v>
      </c>
      <c r="G20" s="12" t="n">
        <f aca="false">'Tham so'!$B$16</f>
        <v>0.055</v>
      </c>
      <c r="H20" s="12" t="n">
        <f aca="false">'Tham so'!$B$17</f>
        <v>0.09</v>
      </c>
      <c r="I20" s="13" t="n">
        <f aca="false">'Tham so'!$B$4*(1+D20)*F20</f>
        <v>7000</v>
      </c>
      <c r="J20" s="13" t="n">
        <f aca="false">'Tham so'!$B$4*(1+D20)*G20</f>
        <v>5500</v>
      </c>
      <c r="K20" s="13" t="n">
        <f aca="false">'Tham so'!$B$4*(1+D20)*H20</f>
        <v>9000</v>
      </c>
      <c r="L20" s="13" t="n">
        <f aca="false">'Tham so'!$B$4*'20 ma da xac minh'!E20+'Tham so'!$B$4*(1+'20 ma da xac minh'!E20)*F20</f>
        <v>7000</v>
      </c>
      <c r="M20" s="13" t="n">
        <f aca="false">'Tham so'!$B$4*'20 ma da xac minh'!E20+'Tham so'!$B$4*(1+'20 ma da xac minh'!E20)*G20</f>
        <v>5500</v>
      </c>
      <c r="N20" s="13" t="n">
        <f aca="false">'Tham so'!$B$4*'20 ma da xac minh'!E20+'Tham so'!$B$4*(1+'20 ma da xac minh'!E20)*H20</f>
        <v>9000</v>
      </c>
      <c r="O20" s="11" t="s">
        <v>124</v>
      </c>
      <c r="P20" s="11" t="s">
        <v>126</v>
      </c>
    </row>
    <row r="21" customFormat="false" ht="35.05" hidden="false" customHeight="false" outlineLevel="0" collapsed="false">
      <c r="A21" s="9" t="n">
        <f aca="false">'20 ma da xac minh'!A21</f>
        <v>20</v>
      </c>
      <c r="B21" s="9" t="str">
        <f aca="false">'20 ma da xac minh'!C21</f>
        <v>08109020</v>
      </c>
      <c r="C21" s="9" t="str">
        <f aca="false">'20 ma da xac minh'!D21</f>
        <v>Thanh long, vải, chanh leo, mít, khế… tươi</v>
      </c>
      <c r="D21" s="10" t="n">
        <f aca="false">'20 ma da xac minh'!G21</f>
        <v>0</v>
      </c>
      <c r="E21" s="11" t="str">
        <f aca="false">'20 ma da xac minh'!K21</f>
        <v>Nguyên liệu thuần tuý + ngưỡng đường 20%</v>
      </c>
      <c r="F21" s="12" t="n">
        <f aca="false">'Tham so'!$B$15</f>
        <v>0.07</v>
      </c>
      <c r="G21" s="12" t="n">
        <f aca="false">'Tham so'!$B$16</f>
        <v>0.055</v>
      </c>
      <c r="H21" s="12" t="n">
        <f aca="false">'Tham so'!$B$17</f>
        <v>0.09</v>
      </c>
      <c r="I21" s="13" t="n">
        <f aca="false">'Tham so'!$B$4*(1+D21)*F21</f>
        <v>7000</v>
      </c>
      <c r="J21" s="13" t="n">
        <f aca="false">'Tham so'!$B$4*(1+D21)*G21</f>
        <v>5500</v>
      </c>
      <c r="K21" s="13" t="n">
        <f aca="false">'Tham so'!$B$4*(1+D21)*H21</f>
        <v>9000</v>
      </c>
      <c r="L21" s="13" t="n">
        <f aca="false">'Tham so'!$B$4*'20 ma da xac minh'!E21+'Tham so'!$B$4*(1+'20 ma da xac minh'!E21)*F21</f>
        <v>7000</v>
      </c>
      <c r="M21" s="13" t="n">
        <f aca="false">'Tham so'!$B$4*'20 ma da xac minh'!E21+'Tham so'!$B$4*(1+'20 ma da xac minh'!E21)*G21</f>
        <v>5500</v>
      </c>
      <c r="N21" s="13" t="n">
        <f aca="false">'Tham so'!$B$4*'20 ma da xac minh'!E21+'Tham so'!$B$4*(1+'20 ma da xac minh'!E21)*H21</f>
        <v>9000</v>
      </c>
      <c r="O21" s="11" t="s">
        <v>124</v>
      </c>
      <c r="P21" s="11" t="s">
        <v>126</v>
      </c>
    </row>
    <row r="23" customFormat="false" ht="15" hidden="false" customHeight="false" outlineLevel="0" collapsed="false">
      <c r="A23" s="14" t="s">
        <v>127</v>
      </c>
    </row>
    <row r="24" customFormat="false" ht="15" hidden="false" customHeight="false" outlineLevel="0" collapsed="false">
      <c r="A24" s="14" t="s">
        <v>128</v>
      </c>
    </row>
    <row r="25" customFormat="false" ht="15" hidden="false" customHeight="false" outlineLevel="0" collapsed="false">
      <c r="A25" s="14" t="s">
        <v>129</v>
      </c>
    </row>
    <row r="26" customFormat="false" ht="15" hidden="false" customHeight="false" outlineLevel="0" collapsed="false">
      <c r="A26" s="14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60"/>
    <col collapsed="false" customWidth="true" hidden="false" outlineLevel="0" max="4" min="4" style="0" width="90"/>
  </cols>
  <sheetData>
    <row r="1" customFormat="false" ht="15" hidden="false" customHeight="true" outlineLevel="0" collapsed="false">
      <c r="A1" s="15" t="s">
        <v>131</v>
      </c>
    </row>
    <row r="3" customFormat="false" ht="15" hidden="false" customHeight="true" outlineLevel="0" collapsed="false">
      <c r="A3" s="16" t="s">
        <v>132</v>
      </c>
      <c r="B3" s="17" t="n">
        <v>2026</v>
      </c>
      <c r="C3" s="16" t="s">
        <v>133</v>
      </c>
    </row>
    <row r="4" customFormat="false" ht="15" hidden="false" customHeight="true" outlineLevel="0" collapsed="false">
      <c r="A4" s="16" t="s">
        <v>134</v>
      </c>
      <c r="B4" s="18" t="n">
        <v>100000</v>
      </c>
    </row>
    <row r="6" customFormat="false" ht="26.25" hidden="false" customHeight="true" outlineLevel="0" collapsed="false">
      <c r="A6" s="2" t="s">
        <v>135</v>
      </c>
      <c r="B6" s="2" t="s">
        <v>136</v>
      </c>
      <c r="C6" s="2" t="s">
        <v>137</v>
      </c>
    </row>
    <row r="7" customFormat="false" ht="15" hidden="false" customHeight="true" outlineLevel="0" collapsed="false">
      <c r="A7" s="3" t="s">
        <v>20</v>
      </c>
      <c r="B7" s="3" t="n">
        <v>1</v>
      </c>
      <c r="C7" s="3" t="s">
        <v>138</v>
      </c>
    </row>
    <row r="8" customFormat="false" ht="15" hidden="false" customHeight="true" outlineLevel="0" collapsed="false">
      <c r="A8" s="3" t="s">
        <v>33</v>
      </c>
      <c r="B8" s="3" t="n">
        <v>4</v>
      </c>
      <c r="C8" s="3" t="s">
        <v>139</v>
      </c>
    </row>
    <row r="9" customFormat="false" ht="15" hidden="false" customHeight="true" outlineLevel="0" collapsed="false">
      <c r="A9" s="3" t="s">
        <v>140</v>
      </c>
      <c r="B9" s="3" t="n">
        <v>6</v>
      </c>
      <c r="C9" s="3" t="s">
        <v>141</v>
      </c>
    </row>
    <row r="10" customFormat="false" ht="15" hidden="false" customHeight="true" outlineLevel="0" collapsed="false">
      <c r="A10" s="3" t="s">
        <v>142</v>
      </c>
      <c r="B10" s="3" t="n">
        <v>8</v>
      </c>
      <c r="C10" s="3" t="s">
        <v>143</v>
      </c>
    </row>
    <row r="13" customFormat="false" ht="15" hidden="false" customHeight="false" outlineLevel="0" collapsed="false">
      <c r="A13" s="19" t="s">
        <v>144</v>
      </c>
    </row>
    <row r="14" customFormat="false" ht="15" hidden="false" customHeight="false" outlineLevel="0" collapsed="false">
      <c r="A14" s="20" t="s">
        <v>145</v>
      </c>
      <c r="B14" s="20" t="s">
        <v>146</v>
      </c>
      <c r="C14" s="20" t="s">
        <v>147</v>
      </c>
      <c r="D14" s="20" t="s">
        <v>148</v>
      </c>
    </row>
    <row r="15" customFormat="false" ht="15" hidden="false" customHeight="false" outlineLevel="0" collapsed="false">
      <c r="A15" s="21" t="s">
        <v>149</v>
      </c>
      <c r="B15" s="22" t="n">
        <v>0.07</v>
      </c>
      <c r="C15" s="22" t="n">
        <v>0.19</v>
      </c>
      <c r="D15" s="23" t="s">
        <v>150</v>
      </c>
    </row>
    <row r="16" customFormat="false" ht="15" hidden="false" customHeight="false" outlineLevel="0" collapsed="false">
      <c r="A16" s="21" t="s">
        <v>151</v>
      </c>
      <c r="B16" s="22" t="n">
        <v>0.055</v>
      </c>
      <c r="C16" s="22" t="n">
        <v>0.2</v>
      </c>
      <c r="D16" s="23" t="s">
        <v>152</v>
      </c>
    </row>
    <row r="17" customFormat="false" ht="15" hidden="false" customHeight="false" outlineLevel="0" collapsed="false">
      <c r="A17" s="21" t="s">
        <v>153</v>
      </c>
      <c r="B17" s="22" t="n">
        <v>0.09</v>
      </c>
      <c r="C17" s="22" t="n">
        <v>0.21</v>
      </c>
      <c r="D17" s="23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0"/>
    <col collapsed="false" customWidth="true" hidden="false" outlineLevel="0" max="3" min="3" style="1" width="55"/>
  </cols>
  <sheetData>
    <row r="1" customFormat="false" ht="15" hidden="false" customHeight="true" outlineLevel="0" collapsed="false">
      <c r="A1" s="2" t="s">
        <v>155</v>
      </c>
      <c r="B1" s="2" t="s">
        <v>156</v>
      </c>
      <c r="C1" s="2" t="s">
        <v>157</v>
      </c>
    </row>
    <row r="2" customFormat="false" ht="23.25" hidden="false" customHeight="true" outlineLevel="0" collapsed="false">
      <c r="A2" s="3" t="s">
        <v>158</v>
      </c>
      <c r="B2" s="3" t="s">
        <v>159</v>
      </c>
      <c r="C2" s="3" t="s">
        <v>160</v>
      </c>
    </row>
    <row r="3" customFormat="false" ht="23.25" hidden="false" customHeight="true" outlineLevel="0" collapsed="false">
      <c r="A3" s="3" t="s">
        <v>161</v>
      </c>
      <c r="B3" s="3" t="s">
        <v>162</v>
      </c>
      <c r="C3" s="3" t="s">
        <v>163</v>
      </c>
    </row>
    <row r="4" customFormat="false" ht="15" hidden="false" customHeight="true" outlineLevel="0" collapsed="false">
      <c r="A4" s="3" t="s">
        <v>164</v>
      </c>
      <c r="B4" s="3" t="s">
        <v>165</v>
      </c>
      <c r="C4" s="3" t="s">
        <v>166</v>
      </c>
    </row>
    <row r="5" customFormat="false" ht="23.25" hidden="false" customHeight="true" outlineLevel="0" collapsed="false">
      <c r="A5" s="3" t="s">
        <v>167</v>
      </c>
      <c r="B5" s="3" t="s">
        <v>168</v>
      </c>
      <c r="C5" s="3" t="s">
        <v>169</v>
      </c>
    </row>
    <row r="6" customFormat="false" ht="23.25" hidden="false" customHeight="true" outlineLevel="0" collapsed="false">
      <c r="A6" s="3" t="s">
        <v>170</v>
      </c>
      <c r="B6" s="3" t="s">
        <v>171</v>
      </c>
      <c r="C6" s="3" t="s">
        <v>172</v>
      </c>
    </row>
    <row r="7" customFormat="false" ht="23.25" hidden="false" customHeight="true" outlineLevel="0" collapsed="false">
      <c r="A7" s="3" t="s">
        <v>173</v>
      </c>
      <c r="B7" s="3" t="s">
        <v>174</v>
      </c>
      <c r="C7" s="3" t="s">
        <v>175</v>
      </c>
    </row>
    <row r="8" customFormat="false" ht="15" hidden="false" customHeight="true" outlineLevel="0" collapsed="false">
      <c r="A8" s="3" t="s">
        <v>176</v>
      </c>
      <c r="B8" s="3" t="s">
        <v>177</v>
      </c>
      <c r="C8" s="3" t="s">
        <v>178</v>
      </c>
    </row>
    <row r="9" customFormat="false" ht="23.25" hidden="false" customHeight="true" outlineLevel="0" collapsed="false">
      <c r="A9" s="3" t="s">
        <v>179</v>
      </c>
      <c r="B9" s="3" t="s">
        <v>180</v>
      </c>
      <c r="C9" s="3" t="s">
        <v>181</v>
      </c>
    </row>
    <row r="10" customFormat="false" ht="23.25" hidden="false" customHeight="true" outlineLevel="0" collapsed="false">
      <c r="A10" s="3" t="s">
        <v>182</v>
      </c>
      <c r="B10" s="3" t="s">
        <v>183</v>
      </c>
      <c r="C10" s="3" t="s">
        <v>184</v>
      </c>
    </row>
    <row r="11" customFormat="false" ht="23.25" hidden="false" customHeight="true" outlineLevel="0" collapsed="false">
      <c r="A11" s="3" t="s">
        <v>185</v>
      </c>
      <c r="B11" s="3" t="s">
        <v>186</v>
      </c>
      <c r="C11" s="3" t="s">
        <v>187</v>
      </c>
    </row>
    <row r="12" customFormat="false" ht="23.25" hidden="false" customHeight="true" outlineLevel="0" collapsed="false">
      <c r="A12" s="3" t="s">
        <v>188</v>
      </c>
      <c r="B12" s="3" t="s">
        <v>189</v>
      </c>
      <c r="C12" s="3" t="s">
        <v>190</v>
      </c>
    </row>
    <row r="13" customFormat="false" ht="15" hidden="false" customHeight="true" outlineLevel="0" collapsed="false">
      <c r="A13" s="3" t="s">
        <v>191</v>
      </c>
      <c r="B13" s="3" t="s">
        <v>192</v>
      </c>
      <c r="C13" s="3" t="s">
        <v>193</v>
      </c>
    </row>
    <row r="14" customFormat="false" ht="15" hidden="false" customHeight="true" outlineLevel="0" collapsed="false">
      <c r="A14" s="3" t="s">
        <v>194</v>
      </c>
      <c r="B14" s="3" t="s">
        <v>195</v>
      </c>
      <c r="C14" s="3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5"/>
    <col collapsed="false" customWidth="true" hidden="false" outlineLevel="0" max="2" min="2" style="1" width="60"/>
  </cols>
  <sheetData>
    <row r="1" customFormat="false" ht="15" hidden="false" customHeight="true" outlineLevel="0" collapsed="false">
      <c r="A1" s="24" t="s">
        <v>197</v>
      </c>
      <c r="B1" s="24" t="s">
        <v>198</v>
      </c>
    </row>
    <row r="2" customFormat="false" ht="15" hidden="false" customHeight="true" outlineLevel="0" collapsed="false">
      <c r="A2" s="16" t="s">
        <v>199</v>
      </c>
      <c r="B2" s="16" t="s">
        <v>200</v>
      </c>
    </row>
    <row r="3" customFormat="false" ht="15" hidden="false" customHeight="true" outlineLevel="0" collapsed="false">
      <c r="A3" s="16" t="s">
        <v>201</v>
      </c>
      <c r="B3" s="16" t="s">
        <v>202</v>
      </c>
    </row>
    <row r="4" customFormat="false" ht="15" hidden="false" customHeight="true" outlineLevel="0" collapsed="false">
      <c r="A4" s="16" t="s">
        <v>203</v>
      </c>
      <c r="B4" s="16" t="s">
        <v>204</v>
      </c>
    </row>
    <row r="5" customFormat="false" ht="15" hidden="false" customHeight="true" outlineLevel="0" collapsed="false">
      <c r="A5" s="16" t="s">
        <v>205</v>
      </c>
      <c r="B5" s="16" t="s">
        <v>206</v>
      </c>
    </row>
    <row r="6" customFormat="false" ht="15" hidden="false" customHeight="false" outlineLevel="0" collapsed="false">
      <c r="A6" s="21" t="s">
        <v>207</v>
      </c>
      <c r="B6" s="21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2026-09-30T05:14:30Z</dcterms:created>
  <dc:creator>openpyxl</dc:creator>
  <dc:description/>
  <dc:language>en-US</dc:language>
  <cp:lastModifiedBy/>
  <dcterms:modified xsi:type="dcterms:W3CDTF">2026-09-30T05:35:07Z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