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Tổng hợp" sheetId="2" state="visible" r:id="rId4"/>
    <sheet name="Backlog" sheetId="3" state="visible" r:id="rId5"/>
    <sheet name="Mô hình dữ liệu" sheetId="4" state="visible" r:id="rId6"/>
    <sheet name="Lịch tuần" sheetId="5" state="visible" r:id="rId7"/>
  </sheets>
  <definedNames>
    <definedName function="false" hidden="true" localSheetId="2" name="_xlnm._FilterDatabase" vbProcedure="false">Backlog!$A$1:$P$58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<sst xmlns="http://schemas.openxmlformats.org/spreadsheetml/2006/main" count="1088" uniqueCount="650">
  <si>
    <t xml:space="preserve">evfta.eu — Backlog MVP xây mới trên FastAPI</t>
  </si>
  <si>
    <t xml:space="preserve">Mục đích</t>
  </si>
  <si>
    <t xml:space="preserve">Backlog xây mới evfta.eu MVP theo spec evfta.eu MVP Build Specification. Stack: FastAPI (Python), Next.js, PostgreSQL.</t>
  </si>
  <si>
    <t xml:space="preserve">Căn cứ</t>
  </si>
  <si>
    <t xml:space="preserve">Spec EVFTA (P0/P1/P2, §4 mô hình dữ liệu, §5 chức năng, §9 lịch 12 tuần); backlog VYBE Trade 29/9/2026 (đính chính nghiệp vụ, lỗi đã gặp); tài liệu 'evfta.eu MVP — Chức năng yêu cầu và kế hoạch thực thi'.</t>
  </si>
  <si>
    <t xml:space="preserve">Khác với backlog VYBE</t>
  </si>
  <si>
    <t xml:space="preserve">VYBE là sửa trên nền Blazor + XAF. evfta.eu là xây mới, nên không có cột 'Hiện trạng web' hay 'Tận dụng code'. Cột 'Tham chiếu VYBE' giữ mã cũ để đối chiếu và ghi bài học. Admin XAF không còn: I4, I1, I5 phải tự làm trên Next.js.</t>
  </si>
  <si>
    <t xml:space="preserve">Cách đọc</t>
  </si>
  <si>
    <t xml:space="preserve">Sheet 'Backlog' xếp theo giai đoạn thực thi. Cột 'Xong khi' lấy từ tiêu chí nghiệm thu của spec. Công sức là ước lượng ngày-người cho xây mới; tech lead chỉnh sau tuần 1.</t>
  </si>
  <si>
    <t xml:space="preserve">Giai đoạn</t>
  </si>
  <si>
    <t xml:space="preserve">GĐ1 29/9–12/10 nền tảng, tài khoản, hồ sơ · GĐ2 13/10–26/10 máy tính thuế và xuất xứ · GĐ3 27/10–9/11 chứng từ và xác minh · GĐ4 10/11–23/11 trợ lý AI · GĐ5 24/11–7/12 danh bạ và kết nối · GĐ6 8/12–21/12 dashboard, gia cố, pilot.</t>
  </si>
  <si>
    <t xml:space="preserve">Luồng song song</t>
  </si>
  <si>
    <t xml:space="preserve">VYBE (Duy Tân) chạy tới launch 10/10 và SIAL 17–21/10, rồi đóng băng tính năng. Dữ liệu VYBE chuyển sang evfta.eu ở tuần 12 (J6).</t>
  </si>
  <si>
    <t xml:space="preserve">Điểm nghẽn</t>
  </si>
  <si>
    <t xml:space="preserve">Người duyệt luật TM. Nhu cầu dồn vào GĐ1–GĐ2 (C0, D0, C1, C4): khoảng 11.5 ngày trong 4 tuần, trong khi 30% thời gian chỉ có 6 ngày. Xem sheet 'Tổng hợp'.</t>
  </si>
  <si>
    <t xml:space="preserve">Đính chính spec</t>
  </si>
  <si>
    <t xml:space="preserve">EUR.1 cho EVFTA do Bộ Công Thương cấp, không phải VCCI. Lô ≤ 6.000 EUR được tự chứng nhận xuất xứ. Chứng từ xuất xứ hiệu lực 12 tháng. Nguồn: backlog VYBE; luật TM xác nhận trong tuần 1.</t>
  </si>
  <si>
    <t xml:space="preserve">Cảnh báo dữ liệu</t>
  </si>
  <si>
    <t xml:space="preserve">Gạo ST25 không thuộc 9 giống gạo thơm được hạn ngạch 0% (theo backlog VYBE). Máy tính thuế phải trả 'cần kiểm thêm', không được ra 0%.</t>
  </si>
  <si>
    <t xml:space="preserve">Cần chốt tuần 1</t>
  </si>
  <si>
    <t xml:space="preserve">1) Ai xây luồng B (2 BE Python, 2 FE Next.js). 2) Người duyệt luật TM và % thời gian. 3) Kỹ sư AI từ tuần 5. 4) Hosting vùng EU, cơ chế phiên đăng nhập (ADR).</t>
  </si>
  <si>
    <t xml:space="preserve">Trạng thái</t>
  </si>
  <si>
    <t xml:space="preserve">Cột 'Trạng thái' chọn từ danh sách: Chưa bắt đầu / Đang làm / Xong / Tắc. Cột 'Người phụ trách' để trống, PO điền khi giao việc.</t>
  </si>
  <si>
    <t xml:space="preserve">Ô nhập</t>
  </si>
  <si>
    <t xml:space="preserve">Chữ xanh dương ở sheet 'Tổng hợp' là giả định năng lực. Sửa trực tiếp, các số tổng tự tính lại.</t>
  </si>
  <si>
    <t xml:space="preserve">Nguyên tắc phạm vi</t>
  </si>
  <si>
    <t xml:space="preserve">Khi trễ: giữ P0, cắt P1 trước. Không làm P2. Yêu cầu P2 từ pilot trả lời 'đưa vào lộ trình seed'.</t>
  </si>
  <si>
    <t xml:space="preserve">Giả định năng lực (sửa ô chữ xanh)</t>
  </si>
  <si>
    <t xml:space="preserve">Chỉ tiêu</t>
  </si>
  <si>
    <t xml:space="preserve">Giá trị</t>
  </si>
  <si>
    <t xml:space="preserve">Ghi chú</t>
  </si>
  <si>
    <t xml:space="preserve">Số dev (BE + FE)</t>
  </si>
  <si>
    <t xml:space="preserve">2 BE Python + 2 FE Next.js; kỹ sư AI tính riêng</t>
  </si>
  <si>
    <t xml:space="preserve">Ngày làm việc mỗi giai đoạn</t>
  </si>
  <si>
    <t xml:space="preserve">2 tuần, trừ cuối tuần</t>
  </si>
  <si>
    <t xml:space="preserve">Hệ số tập trung</t>
  </si>
  <si>
    <t xml:space="preserve">Trừ họp, sửa lỗi phát sinh, hỗ trợ VYBE</t>
  </si>
  <si>
    <t xml:space="preserve">% thời gian luật TM</t>
  </si>
  <si>
    <t xml:space="preserve">Theo spec §10; nên tăng lên 0.5–0.6 ở GĐ1–GĐ2</t>
  </si>
  <si>
    <t xml:space="preserve">Dự phòng công sức</t>
  </si>
  <si>
    <t xml:space="preserve">Ước lượng xây mới còn thô</t>
  </si>
  <si>
    <t xml:space="preserve">Theo giai đoạn</t>
  </si>
  <si>
    <t xml:space="preserve">Số hạng mục</t>
  </si>
  <si>
    <t xml:space="preserve">Dev (ngày)</t>
  </si>
  <si>
    <t xml:space="preserve">Luật TM (ngày)</t>
  </si>
  <si>
    <t xml:space="preserve">Năng lực dev (ngày)</t>
  </si>
  <si>
    <t xml:space="preserve">Dư / thiếu dev</t>
  </si>
  <si>
    <t xml:space="preserve">Năng lực luật TM (ngày)</t>
  </si>
  <si>
    <t xml:space="preserve">Dư / thiếu luật TM</t>
  </si>
  <si>
    <t xml:space="preserve">GĐ1 · T1–2 · 29/9–12/10</t>
  </si>
  <si>
    <t xml:space="preserve">GĐ2 · T3–4 · 13/10–26/10</t>
  </si>
  <si>
    <t xml:space="preserve">GĐ3 · T5–6 · 27/10–9/11</t>
  </si>
  <si>
    <t xml:space="preserve">GĐ4 · T7–8 · 10/11–23/11</t>
  </si>
  <si>
    <t xml:space="preserve">GĐ5 · T9–10 · 24/11–7/12</t>
  </si>
  <si>
    <t xml:space="preserve">GĐ6 · T11–12 · 8/12–21/12</t>
  </si>
  <si>
    <t xml:space="preserve">Sau MVP</t>
  </si>
  <si>
    <t xml:space="preserve">Không làm (P2)</t>
  </si>
  <si>
    <t xml:space="preserve">Tổng</t>
  </si>
  <si>
    <t xml:space="preserve">Dư / thiếu âm (chữ đỏ) = giai đoạn quá tải. Nhu cầu dev đã cộng dự phòng ở B7.</t>
  </si>
  <si>
    <t xml:space="preserve">Tổng thể</t>
  </si>
  <si>
    <t xml:space="preserve">Nhu cầu dev có dự phòng (ngày)</t>
  </si>
  <si>
    <t xml:space="preserve">Tổng dev × (1 + dự phòng)</t>
  </si>
  <si>
    <t xml:space="preserve">Năng lực dev 6 giai đoạn (ngày)</t>
  </si>
  <si>
    <t xml:space="preserve">Dư / thiếu dev (ngày)</t>
  </si>
  <si>
    <t xml:space="preserve">Kết luận dev</t>
  </si>
  <si>
    <t xml:space="preserve">Nhu cầu luật TM (ngày)</t>
  </si>
  <si>
    <t xml:space="preserve">Năng lực luật TM 12 tuần (ngày)</t>
  </si>
  <si>
    <t xml:space="preserve">Kết luận luật TM</t>
  </si>
  <si>
    <t xml:space="preserve">Tổng có thể đủ nhưng dồn vào đầu dự án</t>
  </si>
  <si>
    <t xml:space="preserve">Theo ưu tiên</t>
  </si>
  <si>
    <t xml:space="preserve">Ưu tiên</t>
  </si>
  <si>
    <t xml:space="preserve">P0</t>
  </si>
  <si>
    <t xml:space="preserve">P1</t>
  </si>
  <si>
    <t xml:space="preserve">P2</t>
  </si>
  <si>
    <t xml:space="preserve">—</t>
  </si>
  <si>
    <t xml:space="preserve">Theo module</t>
  </si>
  <si>
    <t xml:space="preserve">Module</t>
  </si>
  <si>
    <t xml:space="preserve">Nền tảng</t>
  </si>
  <si>
    <t xml:space="preserve">Admin</t>
  </si>
  <si>
    <t xml:space="preserve">Tài khoản</t>
  </si>
  <si>
    <t xml:space="preserve">Hồ sơ</t>
  </si>
  <si>
    <t xml:space="preserve">Tuân thủ</t>
  </si>
  <si>
    <t xml:space="preserve">Trợ lý AI</t>
  </si>
  <si>
    <t xml:space="preserve">Phi chức năng</t>
  </si>
  <si>
    <t xml:space="preserve">Thông báo</t>
  </si>
  <si>
    <t xml:space="preserve">Danh bạ</t>
  </si>
  <si>
    <t xml:space="preserve">RFQ &amp; nhắn tin</t>
  </si>
  <si>
    <t xml:space="preserve">Ghép nối</t>
  </si>
  <si>
    <t xml:space="preserve">Dashboard</t>
  </si>
  <si>
    <t xml:space="preserve">Vận hành</t>
  </si>
  <si>
    <t xml:space="preserve">Ngoài phạm vi</t>
  </si>
  <si>
    <t xml:space="preserve">Theo trạng thái</t>
  </si>
  <si>
    <t xml:space="preserve">Trong đó P0</t>
  </si>
  <si>
    <t xml:space="preserve">Chưa bắt đầu</t>
  </si>
  <si>
    <t xml:space="preserve">Đang làm</t>
  </si>
  <si>
    <t xml:space="preserve">Xong</t>
  </si>
  <si>
    <t xml:space="preserve">Tắc</t>
  </si>
  <si>
    <t xml:space="preserve">% ngày-dev đã xong</t>
  </si>
  <si>
    <t xml:space="preserve">ID</t>
  </si>
  <si>
    <t xml:space="preserve">Mục spec</t>
  </si>
  <si>
    <t xml:space="preserve">Chức năng</t>
  </si>
  <si>
    <t xml:space="preserve">Việc cần làm (kỹ thuật)</t>
  </si>
  <si>
    <t xml:space="preserve">Xong khi</t>
  </si>
  <si>
    <t xml:space="preserve">Tuần</t>
  </si>
  <si>
    <t xml:space="preserve">Vai trò</t>
  </si>
  <si>
    <t xml:space="preserve">Phụ thuộc</t>
  </si>
  <si>
    <t xml:space="preserve">Tham chiếu VYBE / bài học</t>
  </si>
  <si>
    <t xml:space="preserve">Người phụ trách</t>
  </si>
  <si>
    <t xml:space="preserve">J7</t>
  </si>
  <si>
    <t xml:space="preserve">§8</t>
  </si>
  <si>
    <t xml:space="preserve">Repo, CI/CD, môi trường</t>
  </si>
  <si>
    <t xml:space="preserve">Monorepo backend/ + frontend/; uv, ruff, mypy strict, pytest; GitHub Actions chạy lint, test, build; môi trường dev/staging/prod vùng EU; Alembic migration đầu tiên; CLAUDE.md và spec trong docs/; ADR hosting và phiên đăng nhập.</t>
  </si>
  <si>
    <t xml:space="preserve">Merge vào main tự deploy staging; CI đỏ thì chặn merge; ADR hosting và phiên đăng nhập đã ký.</t>
  </si>
  <si>
    <t xml:space="preserve">T1</t>
  </si>
  <si>
    <t xml:space="preserve">BE</t>
  </si>
  <si>
    <t xml:space="preserve">Mới — VYBE chạy .NET/XAF, không tái sử dụng</t>
  </si>
  <si>
    <t xml:space="preserve">A0</t>
  </si>
  <si>
    <t xml:space="preserve">§5.1 · §8</t>
  </si>
  <si>
    <t xml:space="preserve">Khung giao diện hai vai trò + bộ component</t>
  </si>
  <si>
    <t xml:space="preserve">Next.js App Router; layout riêng cho khách, nhà xuất khẩu, buyer, admin; bộ component cơ bản; client TypeScript sinh từ OpenAPI (npm run generate:api); i18n next-intl vi/en.</t>
  </si>
  <si>
    <t xml:space="preserve">Bốn khung layout chạy trên staging; client API sinh tự động, không viết tay kiểu dữ liệu.</t>
  </si>
  <si>
    <t xml:space="preserve">T1–2</t>
  </si>
  <si>
    <t xml:space="preserve">FE</t>
  </si>
  <si>
    <t xml:space="preserve">Mới — thay cho portal Blazor</t>
  </si>
  <si>
    <t xml:space="preserve">I6</t>
  </si>
  <si>
    <t xml:space="preserve">§4.11 · §6</t>
  </si>
  <si>
    <t xml:space="preserve">Nhật ký kiểm toán (AuditLog)</t>
  </si>
  <si>
    <t xml:space="preserve">Bảng audit_logs (actor, action, entity, before, after, at) append-only; ghi qua một service chung dùng cho mọi module; màn hình admin lọc theo đối tượng.</t>
  </si>
  <si>
    <t xml:space="preserve">Quyết định xác minh, câu trả lời AI, lần sinh chứng từ đều có người, lúc, trước, sau.</t>
  </si>
  <si>
    <t xml:space="preserve">T2</t>
  </si>
  <si>
    <t xml:space="preserve">BE + FE</t>
  </si>
  <si>
    <t xml:space="preserve">VYBE I6 — nhật ký bị ẩn khỏi menu admin</t>
  </si>
  <si>
    <t xml:space="preserve">A1</t>
  </si>
  <si>
    <t xml:space="preserve">§5.1 · §4.1 · §6</t>
  </si>
  <si>
    <t xml:space="preserve">Đăng ký, đăng nhập, phiên, phân quyền</t>
  </si>
  <si>
    <t xml:space="preserve">Bảng users (email, phone, password_hash Argon2, role, preferred_language, consent_accepted_at, consent_version, last_login_at); /register đọc ?type=buyer|exporter; phiên cookie HTTP-only; mật khẩu ≥ 10 ký tự; khóa 15 phút sau 5 lần sai; phân quyền bằng dependency FastAPI trên mọi route.</t>
  </si>
  <si>
    <t xml:space="preserve">Lưu đủ trường; ?type=buyer chọn sẵn Buyer; mật khẩu rỗng bị chặn ở server (test đủ 4 vai trò); sai 5 lần bị khóa 15 phút.</t>
  </si>
  <si>
    <t xml:space="preserve">VYBE A1, A2 — từng vào được admin bằng mật khẩu rỗng</t>
  </si>
  <si>
    <t xml:space="preserve">A2</t>
  </si>
  <si>
    <t xml:space="preserve">§5.1</t>
  </si>
  <si>
    <t xml:space="preserve">Wizard tạo hồ sơ ngay sau đăng ký</t>
  </si>
  <si>
    <t xml:space="preserve">3 bước: pháp lý → sản phẩm/mã HS → bằng chứng; lưu nháp từng bước; tài khoản chưa có công ty luôn được nhắc.</t>
  </si>
  <si>
    <t xml:space="preserve">Từ trang chủ tới hồ sơ nháp đã lưu dưới 3 phút trên điện thoại và máy tính (đo với 3 người).</t>
  </si>
  <si>
    <t xml:space="preserve">A1, B1</t>
  </si>
  <si>
    <t xml:space="preserve">VYBE A3</t>
  </si>
  <si>
    <t xml:space="preserve">A3</t>
  </si>
  <si>
    <t xml:space="preserve">§5.1 · §6</t>
  </si>
  <si>
    <t xml:space="preserve">Song ngữ Việt/Anh toàn hệ thống</t>
  </si>
  <si>
    <t xml:space="preserve">Mọi chuỗi giao diện qua next-intl; email và thông báo dùng mẫu song ngữ ở backend; nút đổi ngôn ngữ lưu preferred_language + cookie; bước CI báo chuỗi cứng.</t>
  </si>
  <si>
    <t xml:space="preserve">Không còn chuỗi cứng; đổi ngôn ngữ không mất dữ liệu đang nhập.</t>
  </si>
  <si>
    <t xml:space="preserve">T1–11</t>
  </si>
  <si>
    <t xml:space="preserve">VYBE A4 — portal chỉ có tiếng Anh</t>
  </si>
  <si>
    <t xml:space="preserve">B1</t>
  </si>
  <si>
    <t xml:space="preserve">§5.2 · §4.2</t>
  </si>
  <si>
    <t xml:space="preserve">Hồ sơ nhà xuất khẩu có cấu trúc</t>
  </si>
  <si>
    <t xml:space="preserve">Bảng companies: legal_name, registration_number, tax_id, country, industry_sector, founded_year, export_markets (N-N countries), languages_spoken, description_vi, description_en, website, logo; API CRUD + màn hình sửa.</t>
  </si>
  <si>
    <t xml:space="preserve">Mọi trường dùng để lọc/ghép là cột riêng, không nằm trong mô tả; lọc được qua API.</t>
  </si>
  <si>
    <t xml:space="preserve">VYBE B1</t>
  </si>
  <si>
    <t xml:space="preserve">B2</t>
  </si>
  <si>
    <t xml:space="preserve">Hồ sơ buyer có cấu trúc</t>
  </si>
  <si>
    <t xml:space="preserve">companies (type = buyer): industry, sourcing_categories (N-N nhóm hàng/HS), company_size, procurement_estimate, vat_number.</t>
  </si>
  <si>
    <t xml:space="preserve">Buyer lưu được nhóm hàng quan tâm; dùng được cho K1 và G2.</t>
  </si>
  <si>
    <t xml:space="preserve">VYBE B2</t>
  </si>
  <si>
    <t xml:space="preserve">B3</t>
  </si>
  <si>
    <t xml:space="preserve">§5.2</t>
  </si>
  <si>
    <t xml:space="preserve">Điểm hoàn thiện hồ sơ + danh sách còn thiếu</t>
  </si>
  <si>
    <t xml:space="preserve">Hàm tính profile_completeness_score theo bảng trọng số cấu hình được; API trả danh sách trường thiếu; hiện trên hồ sơ và dashboard.</t>
  </si>
  <si>
    <t xml:space="preserve">Điền thêm 1 trường thì % tăng đúng trọng số; danh sách thiếu khớp thực tế.</t>
  </si>
  <si>
    <t xml:space="preserve">VYBE B3</t>
  </si>
  <si>
    <t xml:space="preserve">B4</t>
  </si>
  <si>
    <t xml:space="preserve">§4.2–4.3 · §5.3</t>
  </si>
  <si>
    <t xml:space="preserve">Danh mục mã HS và nhóm hàng</t>
  </si>
  <si>
    <t xml:space="preserve">Bảng hs_codes (code 6–8 số, name_vi, name_en, chapter, is_calculator_supported); nhóm hàng ánh xạ theo chương HS; API gợi ý dùng pg_trgm + unaccent theo mã hoặc tên Việt/Anh.</t>
  </si>
  <si>
    <t xml:space="preserve">Gõ 'gạo', 'rice' hoặc '1006' đều gợi ý đúng mã; mã được hỗ trợ có cờ.</t>
  </si>
  <si>
    <t xml:space="preserve">C0</t>
  </si>
  <si>
    <t xml:space="preserve">VYBE B4 — tag cũ Gold Supplier/OEM, không có mã HS</t>
  </si>
  <si>
    <t xml:space="preserve">B5</t>
  </si>
  <si>
    <t xml:space="preserve">§4.3</t>
  </si>
  <si>
    <t xml:space="preserve">Sản phẩm có cấu trúc</t>
  </si>
  <si>
    <t xml:space="preserve">Bảng products: hs_code (FK, bắt buộc), name, description_vi/en, price_min, price_max (numeric), currency, unit, moq, moq_unit, certifications (N-N evidences), images, is_active, approval_status.</t>
  </si>
  <si>
    <t xml:space="preserve">Không lưu được sản phẩm thiếu mã HS; hồ sơ công khai hiện đủ trường.</t>
  </si>
  <si>
    <t xml:space="preserve">VYBE B5</t>
  </si>
  <si>
    <t xml:space="preserve">§5.3 · §9 · §10</t>
  </si>
  <si>
    <t xml:space="preserve">Chốt danh mục HS hỗ trợ + người duyệt luật TM</t>
  </si>
  <si>
    <t xml:space="preserve">Chỉ định người duyệt; chốt 20 mã đợt đầu theo nhóm hàng SIAL, sau đó đủ 50 mã; quy ước mỗi dòng dữ liệu tuân thủ có người duyệt + ngày duyệt.</t>
  </si>
  <si>
    <t xml:space="preserve">Danh sách 20 mã đã ký trước 10/10; đủ 50 mã đã ký trước 9/11.</t>
  </si>
  <si>
    <t xml:space="preserve">PO + Luật TM</t>
  </si>
  <si>
    <t xml:space="preserve">VYBE C0 — điểm nghẽn của mọi hạng mục C và D</t>
  </si>
  <si>
    <t xml:space="preserve">D0</t>
  </si>
  <si>
    <t xml:space="preserve">§5.4 · §9</t>
  </si>
  <si>
    <t xml:space="preserve">Thu thập kho tài liệu pháp lý</t>
  </si>
  <si>
    <t xml:space="preserve">Thu thập văn bản EVFTA, Nghị định thư 1 về xuất xứ, quy tắc theo mã cho các mã hỗ trợ, FAQ đã duyệt, hướng dẫn hải quan EU (lớp tham khảo); mỗi văn bản ghi nguồn, điều/phụ lục, ngày hiệu lực.</t>
  </si>
  <si>
    <t xml:space="preserve">Kho đủ cho 50 mã; luật TM ký danh mục văn bản.</t>
  </si>
  <si>
    <t xml:space="preserve">T1–6</t>
  </si>
  <si>
    <t xml:space="preserve">Luật TM</t>
  </si>
  <si>
    <t xml:space="preserve">VYBE D1 — spec cảnh báo đây là đường găng</t>
  </si>
  <si>
    <t xml:space="preserve">C1</t>
  </si>
  <si>
    <t xml:space="preserve">§5.3a</t>
  </si>
  <si>
    <t xml:space="preserve">Bảng dòng thuế EU (MFN / EVFTA)</t>
  </si>
  <si>
    <t xml:space="preserve">Bảng tariff_lines: hs_code, destination, duty_type (ad valorem/specific/mixed), mfn_rate, mfn_specific, evfta_rate_current, staging_category, zero_from, quota_required, quota_note, condition_note, source_url, reviewed_by, reviewed_at, valid_from, valid_until; màn hình admin nhập + duyệt; API lọc bỏ dòng chưa duyệt.</t>
  </si>
  <si>
    <t xml:space="preserve">20 dòng nhập đủ; dòng thiếu reviewed_by không bao giờ hiện ra ngoài.</t>
  </si>
  <si>
    <t xml:space="preserve">T2–3</t>
  </si>
  <si>
    <t xml:space="preserve">BE + Luật TM</t>
  </si>
  <si>
    <t xml:space="preserve">C0, B4</t>
  </si>
  <si>
    <t xml:space="preserve">VYBE C1</t>
  </si>
  <si>
    <t xml:space="preserve">C3</t>
  </si>
  <si>
    <t xml:space="preserve">§4.4</t>
  </si>
  <si>
    <t xml:space="preserve">Nhật ký mỗi lần tính (ComplianceCheck)</t>
  </si>
  <si>
    <t xml:space="preserve">Bảng compliance_checks theo §4.4 (company_id nullable cho khách), append-only; ghi mọi lần chạy C2 và C4; admin xuất CSV.</t>
  </si>
  <si>
    <t xml:space="preserve">Mỗi lần tính có đúng 1 bản ghi, kể cả khách; xuất CSV được.</t>
  </si>
  <si>
    <t xml:space="preserve">T3</t>
  </si>
  <si>
    <t xml:space="preserve">VYBE C3</t>
  </si>
  <si>
    <t xml:space="preserve">J1</t>
  </si>
  <si>
    <t xml:space="preserve">§6 · §8</t>
  </si>
  <si>
    <t xml:space="preserve">Tách endpoint công khai + giới hạn tần suất</t>
  </si>
  <si>
    <t xml:space="preserve">/api/public/* không cần đăng nhập, giới hạn theo IP (slowapi) + CDN; mọi endpoint khác kiểm quyền ở server.</t>
  </si>
  <si>
    <t xml:space="preserve">Quá 30 yêu cầu/phút/IP trả 429; endpoint cần đăng nhập trả 401 khi thiếu phiên.</t>
  </si>
  <si>
    <t xml:space="preserve">VYBE J1</t>
  </si>
  <si>
    <t xml:space="preserve">C2</t>
  </si>
  <si>
    <t xml:space="preserve">Máy tính tiết kiệm thuế — khách dùng không cần đăng nhập</t>
  </si>
  <si>
    <t xml:space="preserve">Trang /tools/tariff (render phía server) + POST /api/public/tariff: mã HS, giá trị lô, nước EU, số lô/năm → thuế MFN, thuế EVFTA, số tiền chênh (Decimal) hiển thị lớn, dự báo năm, điều kiện hưởng; mã ngoài danh mục → 'chưa hỗ trợ – liên hệ'; hạn ngạch hoặc thuế tuyệt đối → 'cần kiểm thêm'; nút xem nhà cung cấp có chứng từ xuất xứ.</t>
  </si>
  <si>
    <t xml:space="preserve">20 mã khớp bảng đã duyệt (test chuẩn); mã ngoài danh mục không bao giờ ra con số; gạo ST25 hiện cảnh báo giống/hạn ngạch.</t>
  </si>
  <si>
    <t xml:space="preserve">T3–4</t>
  </si>
  <si>
    <t xml:space="preserve">C1, C3, J1</t>
  </si>
  <si>
    <t xml:space="preserve">VYBE C2 — ST25 không được ra 0%</t>
  </si>
  <si>
    <t xml:space="preserve">C4</t>
  </si>
  <si>
    <t xml:space="preserve">§5.3b</t>
  </si>
  <si>
    <t xml:space="preserve">Máy tính quy tắc xuất xứ (Đạt / Không đạt / Chưa kết luận)</t>
  </si>
  <si>
    <t xml:space="preserve">Bảng product_specific_rules (hs_code, rule_type WO/CTH/MaxNOM%, threshold, rule_text, requires_expert, source, reviewed_by); trang nhập giá xuất xưởng + danh sách nguyên liệu (xuất xứ, giá trị) → % nguyên liệu không xuất xứ so với ngưỡng; requires_expert = true thì luôn 'Chưa kết luận'; test chuẩn theo ca luật TM soạn.</t>
  </si>
  <si>
    <t xml:space="preserve">20 mã có quy tắc đã duyệt; 10/10 ca kiểm do luật TM soạn cho kết quả đúng; không gộp 3 trạng thái.</t>
  </si>
  <si>
    <t xml:space="preserve">T4–6</t>
  </si>
  <si>
    <t xml:space="preserve">BE + FE + Luật TM</t>
  </si>
  <si>
    <t xml:space="preserve">C0, C3</t>
  </si>
  <si>
    <t xml:space="preserve">VYBE C4</t>
  </si>
  <si>
    <t xml:space="preserve">I7</t>
  </si>
  <si>
    <t xml:space="preserve">§4.2</t>
  </si>
  <si>
    <t xml:space="preserve">Trạng thái và mức xác minh theo spec</t>
  </si>
  <si>
    <t xml:space="preserve">companies.verification_status (unverified/pending/verified/rejected), verification_level (basic/evfta_verified), verified_at, expires_at; job quét hằng ngày tự hạ khi hết hạn.</t>
  </si>
  <si>
    <t xml:space="preserve">Mọi công ty có trạng thái, mức, ngày; hết hạn thì tự hạ.</t>
  </si>
  <si>
    <t xml:space="preserve">T5</t>
  </si>
  <si>
    <t xml:space="preserve">VYBE I7 — L0–L3 cũ sẽ ánh xạ khi chuyển dữ liệu</t>
  </si>
  <si>
    <t xml:space="preserve">I1</t>
  </si>
  <si>
    <t xml:space="preserve">§5.10 · §4.6</t>
  </si>
  <si>
    <t xml:space="preserve">Hàng đợi hồ sơ chờ xác minh</t>
  </si>
  <si>
    <t xml:space="preserve">Bảng verification_requests (§4.6); màn hình admin 'Chờ duyệt' lọc pending, sắp theo ngày gửi, xem bằng chứng ngay trên dòng.</t>
  </si>
  <si>
    <t xml:space="preserve">Một màn hình thấy toàn bộ hồ sơ chờ.</t>
  </si>
  <si>
    <t xml:space="preserve">VYBE I1</t>
  </si>
  <si>
    <t xml:space="preserve">C6</t>
  </si>
  <si>
    <t xml:space="preserve">§4.2 · §5.2</t>
  </si>
  <si>
    <t xml:space="preserve">Bằng chứng xuất xứ + danh sách bắt buộc theo nhóm hàng</t>
  </si>
  <si>
    <t xml:space="preserve">Bảng evidences: loại (chứng nhận chất lượng, EUR.1 đã cấp — che giá, tự chứng nhận xuất xứ lô ≤ 6.000 EUR, chứng nhận gạo thơm NĐ 103/2020, hồ sơ EUDR, giấy khai thác IUU), file, issued_at, expires_at (xuất xứ: +12 tháng), approval_status; danh sách bắt buộc theo nhóm hàng; 'EVFTA-verified' = verified + đủ bằng chứng bắt buộc còn hạn. BỔ SUNG 29/09/2026 (theo nghiên cứu của PO; danh sách loại do luật TM duyệt trước khi nhập): (1) tách 'chứng nhận chất lượng' thành các loại có cấu trúc — hệ thống quản lý: ISO 9001, ISO 14001, HACCP, BRCGS, IFS; trách nhiệm xã hội: BSCI, WRAP, SMETA; kỹ thuật: CE marking; kết quả kiểm nghiệm của phòng lab (ghi tên phòng lab và số hiệu báo cáo); (2) lưu thêm certificate_number và issuer để đối chiếu với tổ chức cấp; (3) loại nào bắt buộc theo nhóm hàng do luật TM nhập vào required_evidence_rules, không viết cứng trong code; (4) nếu luật TM yêu cầu, với mã cà phê 0901.11 và 0901.21 nhắc nộp hồ sơ EUDR (chỉ nhắc, không loại tự động, không phải công cụ EUDR — xem X4); (5) bật dòng 'evidence' của điểm hoàn thiện B3 (completeness_weights.is_enabled), đếm bằng chứng đã nộp còn hạn, và thêm job nền tính lại điểm hoàn thiện hằng ngày (bằng chứng hết hạn không phát sự kiện) — gộp vào job quét hết hạn của I7.</t>
  </si>
  <si>
    <t xml:space="preserve">Hồ sơ hiện danh sách kiểm theo nhóm hàng; bằng chứng hết hạn thì tự hạ mức. Bổ sung: danh sách loại bằng chứng và nhóm hàng bắt buộc đã được luật TM duyệt; bằng chứng hết hạn thì điểm hoàn thiện giảm sau lần quét hằng ngày kế tiếp; không tính năng nào tự loại doanh nghiệp vì thiếu bằng chứng (chỉ verification.decide() đổi trạng thái xác minh).</t>
  </si>
  <si>
    <t xml:space="preserve">T5–6</t>
  </si>
  <si>
    <t xml:space="preserve">B1, B4, I7</t>
  </si>
  <si>
    <t xml:space="preserve">VYBE C6</t>
  </si>
  <si>
    <t xml:space="preserve">I2</t>
  </si>
  <si>
    <t xml:space="preserve">§5.10</t>
  </si>
  <si>
    <t xml:space="preserve">Duyệt / Từ chối có lý do / Yêu cầu bổ sung</t>
  </si>
  <si>
    <t xml:space="preserve">Ba hành động; lý do bắt buộc khi từ chối hoặc yêu cầu bổ sung; bảng verification_decisions (reviewer, decision, reason, at); email báo doanh nghiệp.</t>
  </si>
  <si>
    <t xml:space="preserve">Chờ duyệt → đã xác minh dưới 5 phút; 100% quyết định có lý do trong nhật ký.</t>
  </si>
  <si>
    <t xml:space="preserve">I1, I6, H2</t>
  </si>
  <si>
    <t xml:space="preserve">VYBE I2 — từng duyệt chứng nhận AI báo gian lận</t>
  </si>
  <si>
    <t xml:space="preserve">C5</t>
  </si>
  <si>
    <t xml:space="preserve">§5.3c · §4.5</t>
  </si>
  <si>
    <t xml:space="preserve">Bản nháp EUR.1 (PDF có watermark)</t>
  </si>
  <si>
    <t xml:space="preserve">Điền mẫu EUR.1 bằng pypdf + ReportLab qua job nền; watermark 'DRAFT — for review before submission to issuing authority' mọi trang; dữ liệu từ công ty + kết quả C4 + hóa đơn; bảng documents (§4.5) lưu file S3 + trạng thái; ghi rõ cơ quan cấp chính thức là Bộ Công Thương.</t>
  </si>
  <si>
    <t xml:space="preserve">Chỉ sinh được khi C4 = Đạt; watermark mọi trang; mỗi lần sinh có nhật ký.</t>
  </si>
  <si>
    <t xml:space="preserve">VYBE C5 — spec ghi VCCI, đính chính: Bộ Công Thương</t>
  </si>
  <si>
    <t xml:space="preserve">H2</t>
  </si>
  <si>
    <t xml:space="preserve">§5.9</t>
  </si>
  <si>
    <t xml:space="preserve">Email thông báo</t>
  </si>
  <si>
    <t xml:space="preserve">Interface NotificationChannel (email trước, Zalo/SMS sau); job nền gửi: tin nhắn mới, RFQ mới, đổi trạng thái xác minh, khớp tìm kiếm đã lưu, sắp hết hạn xác minh (quét hằng ngày); mẫu email song ngữ.</t>
  </si>
  <si>
    <t xml:space="preserve">5 loại email gửi đúng, link đúng trang; RFQ mới có mail trong 1 phút.</t>
  </si>
  <si>
    <t xml:space="preserve">T6 và T10</t>
  </si>
  <si>
    <t xml:space="preserve">VYBE H2</t>
  </si>
  <si>
    <t xml:space="preserve">I4</t>
  </si>
  <si>
    <t xml:space="preserve">Xem và kiểm duyệt mọi hồ sơ, sản phẩm</t>
  </si>
  <si>
    <t xml:space="preserve">Màn hình admin xem, sửa, ẩn mọi hồ sơ và sản phẩm; mỗi thao tác ghi audit.</t>
  </si>
  <si>
    <t xml:space="preserve">Admin ẩn/sửa được mọi hồ sơ và sản phẩm; mỗi thao tác có nhật ký.</t>
  </si>
  <si>
    <t xml:space="preserve">T6</t>
  </si>
  <si>
    <t xml:space="preserve">VYBE I4 — XAF có sẵn, nền mới phải tự làm</t>
  </si>
  <si>
    <t xml:space="preserve">I5</t>
  </si>
  <si>
    <t xml:space="preserve">Dashboard nội bộ</t>
  </si>
  <si>
    <t xml:space="preserve">Số doanh nghiệp đã xác minh, hồ sơ chờ, câu hỏi AI tuần này, độ tin cậy trung bình (2 chỉ số AI bổ sung sau D3).</t>
  </si>
  <si>
    <t xml:space="preserve">Số trên dashboard khớp đếm tay.</t>
  </si>
  <si>
    <t xml:space="preserve">T6 và T8</t>
  </si>
  <si>
    <t xml:space="preserve">I7, D3</t>
  </si>
  <si>
    <t xml:space="preserve">VYBE I5</t>
  </si>
  <si>
    <t xml:space="preserve">D1</t>
  </si>
  <si>
    <t xml:space="preserve">§5.4 · §8</t>
  </si>
  <si>
    <t xml:space="preserve">Pipeline cắt đoạn, nhúng, truy xuất</t>
  </si>
  <si>
    <t xml:space="preserve">Module app/copilot: cắt đoạn giữ điều/phụ lục; embedding đa ngữ lưu pgvector; truy xuất chính xác + lọc theo mã HS; nạp lại kho bằng lệnh, không cần deploy web.</t>
  </si>
  <si>
    <t xml:space="preserve">Mỗi đoạn truy xuất có nguồn; nạp lại kho không cần deploy.</t>
  </si>
  <si>
    <t xml:space="preserve">T6–7</t>
  </si>
  <si>
    <t xml:space="preserve">AI</t>
  </si>
  <si>
    <t xml:space="preserve">VYBE D1</t>
  </si>
  <si>
    <t xml:space="preserve">D4</t>
  </si>
  <si>
    <t xml:space="preserve">§5.4</t>
  </si>
  <si>
    <t xml:space="preserve">Bộ đánh giá 50 câu chạy trong CI</t>
  </si>
  <si>
    <t xml:space="preserve">Bộ 50 câu do luật TM soạn và duyệt; script eval chạy trong CI; báo độ chính xác và độ đúng trích nguồn tách riêng; so sánh giữa các lần đổi prompt/embedding.</t>
  </si>
  <si>
    <t xml:space="preserve">Mỗi thay đổi prompt hoặc truy xuất có báo cáo chênh lệch.</t>
  </si>
  <si>
    <t xml:space="preserve">T7</t>
  </si>
  <si>
    <t xml:space="preserve">Mới</t>
  </si>
  <si>
    <t xml:space="preserve">D2</t>
  </si>
  <si>
    <t xml:space="preserve">Trợ lý hỏi đáp tuân thủ (trích nguồn, mức tin cậy)</t>
  </si>
  <si>
    <t xml:space="preserve">Trang /copilot Việt/Anh; chỉ trả lời từ đoạn truy xuất; trích nguồn hiển thị rõ; mức tin cậy Cao/TB/Thấp/Ngoài phạm vi; nút chuyển người thật tạo phiếu cho admin; LLM qua interface ChatModel.</t>
  </si>
  <si>
    <t xml:space="preserve">Bộ 50 câu đạt ngưỡng luật TM ký; câu ngoài phạm vi trả 'ngoài phạm vi' 100%.</t>
  </si>
  <si>
    <t xml:space="preserve">T7–8</t>
  </si>
  <si>
    <t xml:space="preserve">AI + BE + FE</t>
  </si>
  <si>
    <t xml:space="preserve">D1, D4</t>
  </si>
  <si>
    <t xml:space="preserve">VYBE D2 — dùng lại kinh nghiệm gọi LLM của AI Trust Co-pilot</t>
  </si>
  <si>
    <t xml:space="preserve">D3</t>
  </si>
  <si>
    <t xml:space="preserve">§4.10 · §5.10</t>
  </si>
  <si>
    <t xml:space="preserve">Nhật ký AIQuery + admin soát câu yếu</t>
  </si>
  <si>
    <t xml:space="preserve">Bảng ai_queries (§4.10) gồm chunk_ids, citations, confidence, model_version, was_helpful, escalated; nút hữu ích/không; màn hình admin lọc câu tin cậy thấp hoặc bị đánh giá không hữu ích; chọn mẫu soát hằng tuần.</t>
  </si>
  <si>
    <t xml:space="preserve">100% câu hỏi được ghi; admin thấy danh sách câu tin cậy thấp.</t>
  </si>
  <si>
    <t xml:space="preserve">T8</t>
  </si>
  <si>
    <t xml:space="preserve">VYBE D3</t>
  </si>
  <si>
    <t xml:space="preserve">E1</t>
  </si>
  <si>
    <t xml:space="preserve">§5.5</t>
  </si>
  <si>
    <t xml:space="preserve">Chỉ hiện doanh nghiệp đã xác minh</t>
  </si>
  <si>
    <t xml:space="preserve">Truy vấn công khai chỉ lấy verified; test tự động cho unverified, pending, rejected.</t>
  </si>
  <si>
    <t xml:space="preserve">Test xanh: hồ sơ chưa xác minh không xuất hiện.</t>
  </si>
  <si>
    <t xml:space="preserve">T9</t>
  </si>
  <si>
    <t xml:space="preserve">BE + QA</t>
  </si>
  <si>
    <t xml:space="preserve">VYBE E1 — đã đạt ở VYBE, giữ quy tắc</t>
  </si>
  <si>
    <t xml:space="preserve">E2</t>
  </si>
  <si>
    <t xml:space="preserve">Tìm và lọc theo HS, nhóm hàng, quốc gia, chứng nhận, từ khóa Việt/Anh</t>
  </si>
  <si>
    <t xml:space="preserve">Trang /suppliers render phía server; tìm gộp tên công ty, sản phẩm, tên HS Việt/Anh, chứng nhận đã duyệt bằng unaccent + pg_trgm; bộ lọc HS, nhóm hàng, quốc gia, chứng nhận; ô trống liệt kê mọi doanh nghiệp đã xác minh; index các cột lọc.</t>
  </si>
  <si>
    <t xml:space="preserve">'gạo', 'rice', '1006' đều ra đúng doanh nghiệp; lọc HS + quốc gia đúng; dưới 2 giây với 500 doanh nghiệp thử.</t>
  </si>
  <si>
    <t xml:space="preserve">B1, B4, B5, E1</t>
  </si>
  <si>
    <t xml:space="preserve">VYBE E2 — 'rice', 'HACCP', ô trống đều ra 0 kết quả</t>
  </si>
  <si>
    <t xml:space="preserve">E3</t>
  </si>
  <si>
    <t xml:space="preserve">Thẻ kết quả đủ thông tin + nút yêu cầu báo giá</t>
  </si>
  <si>
    <t xml:space="preserve">Thẻ: tên, huy hiệu xác minh, nhóm hàng, quốc gia, mô tả ngắn song ngữ, nút yêu cầu báo giá.</t>
  </si>
  <si>
    <t xml:space="preserve">Thẻ có đủ 6 thông tin theo §5.5.</t>
  </si>
  <si>
    <t xml:space="preserve">VYBE E3</t>
  </si>
  <si>
    <t xml:space="preserve">E4</t>
  </si>
  <si>
    <t xml:space="preserve">§6</t>
  </si>
  <si>
    <t xml:space="preserve">Trang Giới thiệu, Điều khoản, Bảo mật</t>
  </si>
  <si>
    <t xml:space="preserve">Trang Giới thiệu, Điều khoản (câu miễn trừ cho huy hiệu xác minh), Bảo mật; kiểm độ tương phản màu.</t>
  </si>
  <si>
    <t xml:space="preserve">Không còn link trỏ '#'; độ tương phản chữ ≥ 4.5:1.</t>
  </si>
  <si>
    <t xml:space="preserve">VYBE E4</t>
  </si>
  <si>
    <t xml:space="preserve">H1</t>
  </si>
  <si>
    <t xml:space="preserve">§5.9 · §4.9</t>
  </si>
  <si>
    <t xml:space="preserve">Trung tâm thông báo (chuông, số chưa đọc)</t>
  </si>
  <si>
    <t xml:space="preserve">Bảng notifications (§4.9: type, payload jsonb, is_read, link); chuông + số chưa đọc trên header; cập nhật bằng polling.</t>
  </si>
  <si>
    <t xml:space="preserve">Mỗi loại thông báo mở đúng trang liên quan.</t>
  </si>
  <si>
    <t xml:space="preserve">VYBE H1</t>
  </si>
  <si>
    <t xml:space="preserve">F1</t>
  </si>
  <si>
    <t xml:space="preserve">§5.7</t>
  </si>
  <si>
    <t xml:space="preserve">RFQ có cấu trúc + theo dõi trạng thái</t>
  </si>
  <si>
    <t xml:space="preserve">Bảng rfqs: product (FK), quantity + unit, target_price + currency, incoterms (enum), destination country/port, required_date, message; trạng thái Mới / Đã xem / Đã báo giá / Đóng.</t>
  </si>
  <si>
    <t xml:space="preserve">Buyer gửi đủ trường; seller đổi trạng thái; buyer thấy thay đổi.</t>
  </si>
  <si>
    <t xml:space="preserve">VYBE F1</t>
  </si>
  <si>
    <t xml:space="preserve">F2</t>
  </si>
  <si>
    <t xml:space="preserve">§5.7 · §4.7</t>
  </si>
  <si>
    <t xml:space="preserve">Hội thoại theo cặp công ty</t>
  </si>
  <si>
    <t xml:space="preserve">Bảng conversations + messages (§4.7); mỗi RFQ tự mở hội thoại; cập nhật gần thời gian thực bằng polling hoặc SSE, chưa cần WebSocket.</t>
  </si>
  <si>
    <t xml:space="preserve">Hai bên nhắn qua lại trong một luồng gắn với RFQ.</t>
  </si>
  <si>
    <t xml:space="preserve">T10</t>
  </si>
  <si>
    <t xml:space="preserve">VYBE F2</t>
  </si>
  <si>
    <t xml:space="preserve">F3</t>
  </si>
  <si>
    <t xml:space="preserve">Dịch máy mọi tin nhắn</t>
  </si>
  <si>
    <t xml:space="preserve">TranslationService (DeepL) gọi lúc gửi; lưu body_original, body_translated và hai ngôn ngữ; ngôn ngữ đích = preferred_language của người nhận; nút xem bản gốc; lỗi dịch vẫn gửi bản gốc.</t>
  </si>
  <si>
    <t xml:space="preserve">Người chỉ biết tiếng Việt và người chỉ biết tiếng Anh hoàn tất một vòng RFQ → trả lời.</t>
  </si>
  <si>
    <t xml:space="preserve">F2, A1</t>
  </si>
  <si>
    <t xml:space="preserve">VYBE F3</t>
  </si>
  <si>
    <t xml:space="preserve">K1</t>
  </si>
  <si>
    <t xml:space="preserve">§5.6 · §4.8</t>
  </si>
  <si>
    <t xml:space="preserve">Lưu tìm kiếm</t>
  </si>
  <si>
    <t xml:space="preserve">Bảng saved_searches (criteria jsonb: hs_codes, countries, keywords; last_notified_at); nút Lưu trên trang tìm kiếm.</t>
  </si>
  <si>
    <t xml:space="preserve">Buyer lưu và mở lại được tìm kiếm.</t>
  </si>
  <si>
    <t xml:space="preserve">VYBE K1</t>
  </si>
  <si>
    <t xml:space="preserve">K2</t>
  </si>
  <si>
    <t xml:space="preserve">§5.6</t>
  </si>
  <si>
    <t xml:space="preserve">Báo khi có nhà cung cấp mới khớp</t>
  </si>
  <si>
    <t xml:space="preserve">Khi công ty chuyển verified → job so khớp mọi saved_search → notification + email.</t>
  </si>
  <si>
    <t xml:space="preserve">Duyệt một doanh nghiệp khớp → buyer nhận thông báo trong 24 giờ (test: dưới 5 phút).</t>
  </si>
  <si>
    <t xml:space="preserve">K1, H1, H2</t>
  </si>
  <si>
    <t xml:space="preserve">VYBE K2</t>
  </si>
  <si>
    <t xml:space="preserve">J2</t>
  </si>
  <si>
    <t xml:space="preserve">GDPR: đồng ý, tối thiểu dữ liệu, quyền xóa</t>
  </si>
  <si>
    <t xml:space="preserve">Consent lưu ở A1; hành động 'Xóa tài khoản và dữ liệu' ẩn danh hóa dữ liệu cá nhân, giữ nhật ký kiểm toán; trang Chính sách bảo mật; rà trường thu thập.</t>
  </si>
  <si>
    <t xml:space="preserve">Yêu cầu xóa xử lý xong trong hệ thống; dữ liệu cá nhân không còn đọc được; nhật ký kiểm toán còn nguyên.</t>
  </si>
  <si>
    <t xml:space="preserve">A1, I6</t>
  </si>
  <si>
    <t xml:space="preserve">VYBE J2</t>
  </si>
  <si>
    <t xml:space="preserve">G1</t>
  </si>
  <si>
    <t xml:space="preserve">§5.8</t>
  </si>
  <si>
    <t xml:space="preserve">Dashboard nhà xuất khẩu</t>
  </si>
  <si>
    <t xml:space="preserve">Ô: % hoàn thiện + còn thiếu; lượt xem hồ sơ tuần này (bảng profile_views); RFQ mới; trạng thái xác minh + đếm ngược hạn; tổng tiết kiệm thuế từ compliance_checks; câu hỏi trợ lý AI gần đây.</t>
  </si>
  <si>
    <t xml:space="preserve">Mỗi ô lấy số thật; ô chưa có dữ liệu hiện hướng dẫn thay vì để trống.</t>
  </si>
  <si>
    <t xml:space="preserve">T11</t>
  </si>
  <si>
    <t xml:space="preserve">B3, F1, C3, D3</t>
  </si>
  <si>
    <t xml:space="preserve">VYBE G1</t>
  </si>
  <si>
    <t xml:space="preserve">G2</t>
  </si>
  <si>
    <t xml:space="preserve">Dashboard buyer</t>
  </si>
  <si>
    <t xml:space="preserve">Ô: tìm kiếm đã lưu + kết quả mới; RFQ đã gửi + trạng thái; nhà cung cấp xem gần đây; nhà cung cấp mới được xác minh tuần này trong nhóm hàng quan tâm.</t>
  </si>
  <si>
    <t xml:space="preserve">Mỗi ô lấy số thật.</t>
  </si>
  <si>
    <t xml:space="preserve">K1, F1, B2</t>
  </si>
  <si>
    <t xml:space="preserve">VYBE G2</t>
  </si>
  <si>
    <t xml:space="preserve">G3</t>
  </si>
  <si>
    <t xml:space="preserve">Đo tỷ lệ quay lại có thông tin mới</t>
  </si>
  <si>
    <t xml:space="preserve">Ghi sự kiện mỗi lần mở dashboard + có/không có thông tin mới; báo cáo theo tuần.</t>
  </si>
  <si>
    <t xml:space="preserve">Admin xem tỷ lệ theo tuần; mục tiêu spec 90%.</t>
  </si>
  <si>
    <t xml:space="preserve">G1, G2</t>
  </si>
  <si>
    <t xml:space="preserve">VYBE G3</t>
  </si>
  <si>
    <t xml:space="preserve">J3</t>
  </si>
  <si>
    <t xml:space="preserve">Dùng đầy đủ trên điện thoại cho luồng nhà xuất khẩu</t>
  </si>
  <si>
    <t xml:space="preserve">Kiểm và sửa đăng ký, hồ sơ, sản phẩm, bằng chứng, RFQ ở bề rộng 390px.</t>
  </si>
  <si>
    <t xml:space="preserve">Hoàn tất onboarding trên điện thoại không cần phóng to.</t>
  </si>
  <si>
    <t xml:space="preserve">FE + QA</t>
  </si>
  <si>
    <t xml:space="preserve">A2, B5, C6, F1</t>
  </si>
  <si>
    <t xml:space="preserve">VYBE J3</t>
  </si>
  <si>
    <t xml:space="preserve">J6</t>
  </si>
  <si>
    <t xml:space="preserve">§11</t>
  </si>
  <si>
    <t xml:space="preserve">Chuyển dữ liệu từ VYBE sang evfta.eu</t>
  </si>
  <si>
    <t xml:space="preserve">Script chuyển users, companies, products, evidences từ VYBE (XPO; định dạng nguồn cần Duy Tân xác nhận) sang PostgreSQL; ánh xạ L0–L3 sang trạng thái + mức; chạy thử tuần 10, chạy thật tuần 12; đối soát số lượng.</t>
  </si>
  <si>
    <t xml:space="preserve">100% doanh nghiệp, sản phẩm, bằng chứng còn hạn được chuyển; đối soát khớp.</t>
  </si>
  <si>
    <t xml:space="preserve">T10 và T12</t>
  </si>
  <si>
    <t xml:space="preserve">B1, B5, C6, I7</t>
  </si>
  <si>
    <t xml:space="preserve">Mới — cần dump dữ liệu VYBE</t>
  </si>
  <si>
    <t xml:space="preserve">J4</t>
  </si>
  <si>
    <t xml:space="preserve">Hiệu năng trang công khai</t>
  </si>
  <si>
    <t xml:space="preserve">Đo trên 4G giả lập; nạp 500 doanh nghiệp thử.</t>
  </si>
  <si>
    <t xml:space="preserve">Trang công khai dưới 3 giây; tìm kiếm dưới 2 giây.</t>
  </si>
  <si>
    <t xml:space="preserve">T12</t>
  </si>
  <si>
    <t xml:space="preserve">QA</t>
  </si>
  <si>
    <t xml:space="preserve">E2, C2</t>
  </si>
  <si>
    <t xml:space="preserve">VYBE J4</t>
  </si>
  <si>
    <t xml:space="preserve">J8</t>
  </si>
  <si>
    <t xml:space="preserve">§9</t>
  </si>
  <si>
    <t xml:space="preserve">Rà bảo mật, kiểm tải, sao lưu</t>
  </si>
  <si>
    <t xml:space="preserve">Rà phân quyền mọi endpoint, OWASP top 10, quản lý bí mật; kiểm tải; thử sao lưu và khôi phục PostgreSQL.</t>
  </si>
  <si>
    <t xml:space="preserve">Không còn lỗi mức cao; khôi phục DB từ bản sao lưu chạy được.</t>
  </si>
  <si>
    <t xml:space="preserve">J5</t>
  </si>
  <si>
    <t xml:space="preserve">§2 · §11</t>
  </si>
  <si>
    <t xml:space="preserve">Dữ liệu demo và doanh nghiệp thật</t>
  </si>
  <si>
    <t xml:space="preserve">15–20 doanh nghiệp demo gắn nhãn DEMO trên staging; onboarding 50–100 doanh nghiệp thật đã xác minh; ký 2–3 pilot.</t>
  </si>
  <si>
    <t xml:space="preserve">50–100 doanh nghiệp đã xác minh và hoạt động; 2–3 pilot ký; đếm được trên dashboard nội bộ.</t>
  </si>
  <si>
    <t xml:space="preserve">T9–12</t>
  </si>
  <si>
    <t xml:space="preserve">PO</t>
  </si>
  <si>
    <t xml:space="preserve">I2, J6</t>
  </si>
  <si>
    <t xml:space="preserve">VYBE J5</t>
  </si>
  <si>
    <t xml:space="preserve">X1</t>
  </si>
  <si>
    <t xml:space="preserve">§7</t>
  </si>
  <si>
    <t xml:space="preserve">Ghép đối tác bằng AI ngôn ngữ tự nhiên</t>
  </si>
  <si>
    <t xml:space="preserve">Không làm; dùng ghép theo luật ở K1–K2.</t>
  </si>
  <si>
    <t xml:space="preserve">VYBE X4</t>
  </si>
  <si>
    <t xml:space="preserve">X2</t>
  </si>
  <si>
    <t xml:space="preserve">Thanh toán, escrow, tài trợ thương mại, thu phí, gói Member</t>
  </si>
  <si>
    <t xml:space="preserve">Không làm; truy cập miễn phí trong pilot.</t>
  </si>
  <si>
    <t xml:space="preserve">VYBE X1, X8</t>
  </si>
  <si>
    <t xml:space="preserve">X3</t>
  </si>
  <si>
    <t xml:space="preserve">Logistics, danh bạ Provider</t>
  </si>
  <si>
    <t xml:space="preserve">Không làm.</t>
  </si>
  <si>
    <t xml:space="preserve">VYBE X2, X8</t>
  </si>
  <si>
    <t xml:space="preserve">X4</t>
  </si>
  <si>
    <t xml:space="preserve">Công cụ ESG / CSRD / EUDR</t>
  </si>
  <si>
    <t xml:space="preserve">Không làm công cụ; chỉ nhận hồ sơ EUDR như một loại bằng chứng (C6). Nhắc nộp hồ sơ EUDR cho mã cà phê (nếu luật TM yêu cầu) thuộc C6, không phải công cụ. Không làm điểm 'loại ngay' (knockout) — xem docs/roadmap/2026-09-29-nghien-cuu-trong-so-uy-tin.md.</t>
  </si>
  <si>
    <t xml:space="preserve">VYBE X7</t>
  </si>
  <si>
    <t xml:space="preserve">X5</t>
  </si>
  <si>
    <t xml:space="preserve">Cấp C/O chính thức</t>
  </si>
  <si>
    <t xml:space="preserve">Không làm; chỉ bản nháp (C5).</t>
  </si>
  <si>
    <t xml:space="preserve">VYBE X9</t>
  </si>
  <si>
    <t xml:space="preserve">X6</t>
  </si>
  <si>
    <t xml:space="preserve">Ngôn ngữ thứ ba (Đức, Pháp, Séc, Hà Lan)</t>
  </si>
  <si>
    <t xml:space="preserve">VYBE X5</t>
  </si>
  <si>
    <t xml:space="preserve">X7</t>
  </si>
  <si>
    <t xml:space="preserve">App native</t>
  </si>
  <si>
    <t xml:space="preserve">Không làm; web responsive.</t>
  </si>
  <si>
    <t xml:space="preserve">VYBE X6</t>
  </si>
  <si>
    <t xml:space="preserve">X8</t>
  </si>
  <si>
    <t xml:space="preserve">AI đọc giấy tờ (AI Trust Co-pilot)</t>
  </si>
  <si>
    <t xml:space="preserve">Không chuyển sang evfta.eu trong MVP; cân nhắc sau tuần 12 nếu còn công, vì giúp duyệt nhanh hơn.</t>
  </si>
  <si>
    <t xml:space="preserve">VYBE X3</t>
  </si>
  <si>
    <t xml:space="preserve">Thực thể spec</t>
  </si>
  <si>
    <t xml:space="preserve">Bảng PostgreSQL</t>
  </si>
  <si>
    <t xml:space="preserve">Cột chính</t>
  </si>
  <si>
    <t xml:space="preserve">Ghi chú kỹ thuật</t>
  </si>
  <si>
    <t xml:space="preserve">Backlog</t>
  </si>
  <si>
    <t xml:space="preserve">Nguồn chuyển từ VYBE (J6)</t>
  </si>
  <si>
    <t xml:space="preserve">§4.1 User</t>
  </si>
  <si>
    <t xml:space="preserve">users</t>
  </si>
  <si>
    <t xml:space="preserve">id, email, phone, password_hash, role, preferred_language, consent_accepted_at, consent_version, created_at, last_login_at</t>
  </si>
  <si>
    <t xml:space="preserve">Argon2; email unique; role enum exporter/buyer/admin</t>
  </si>
  <si>
    <t xml:space="preserve">A1, J2</t>
  </si>
  <si>
    <t xml:space="preserve">ApplicationUser (XAF Security)</t>
  </si>
  <si>
    <t xml:space="preserve">§4.2 Company</t>
  </si>
  <si>
    <t xml:space="preserve">companies</t>
  </si>
  <si>
    <t xml:space="preserve">id, owner_user_id, type, legal_name, country, registration_number, tax_id, industry_sector, verification_status, verification_level, verified_at, expires_at, profile_completeness_score, description_vi, description_en, website, logo_url</t>
  </si>
  <si>
    <t xml:space="preserve">Một bảng cho cả exporter và buyer, cột type; N-N export_markets, languages_spoken, sourcing_categories</t>
  </si>
  <si>
    <t xml:space="preserve">B1, B2, B3, I7</t>
  </si>
  <si>
    <t xml:space="preserve">Company và Buyer; L0–L3 ánh xạ sang trạng thái + mức</t>
  </si>
  <si>
    <t xml:space="preserve">§4.3 Product</t>
  </si>
  <si>
    <t xml:space="preserve">products</t>
  </si>
  <si>
    <t xml:space="preserve">id, company_id, hs_code, name, description_vi, description_en, price_min, price_max, currency, unit, moq, moq_unit, images, is_active, approval_status</t>
  </si>
  <si>
    <t xml:space="preserve">Giá numeric; hs_code bắt buộc</t>
  </si>
  <si>
    <t xml:space="preserve">Product</t>
  </si>
  <si>
    <t xml:space="preserve">§4.4 ComplianceCheck</t>
  </si>
  <si>
    <t xml:space="preserve">compliance_checks</t>
  </si>
  <si>
    <t xml:space="preserve">id, company_id (nullable), hs_code, product_value, origin_country, destination_country, mfn_duty_rate, evfta_duty_rate, savings_amount, regional_value_content_pct, originating_status, tariff_line_id, rule_id, created_at</t>
  </si>
  <si>
    <t xml:space="preserve">Append-only; ghi cả khách; tài sản dữ liệu</t>
  </si>
  <si>
    <t xml:space="preserve">— (chưa có)</t>
  </si>
  <si>
    <t xml:space="preserve">§4.5 Document</t>
  </si>
  <si>
    <t xml:space="preserve">documents</t>
  </si>
  <si>
    <t xml:space="preserve">id, company_id, document_type, compliance_check_id, file_url, status, created_at</t>
  </si>
  <si>
    <t xml:space="preserve">File trên S3; chỉ sinh EUR.1 khi RoO = pass</t>
  </si>
  <si>
    <t xml:space="preserve">§4.6 VerificationRequest</t>
  </si>
  <si>
    <t xml:space="preserve">verification_requests, verification_decisions, evidences</t>
  </si>
  <si>
    <t xml:space="preserve">request: company_id, submitted_evidence_ids, status, submitted_at · decision: reviewer_id, decision, reason, decided_at · evidence: type, file, certificate_number, issuer, issued_at, expires_at, approval_status</t>
  </si>
  <si>
    <t xml:space="preserve">Lý do bắt buộc khi từ chối/yêu cầu bổ sung; bằng chứng xuất xứ hạn 12 tháng</t>
  </si>
  <si>
    <t xml:space="preserve">C6, I1, I2</t>
  </si>
  <si>
    <t xml:space="preserve">Evidence + AiVerificationResult</t>
  </si>
  <si>
    <t xml:space="preserve">§4.7 Conversation / Message</t>
  </si>
  <si>
    <t xml:space="preserve">rfqs, conversations, messages</t>
  </si>
  <si>
    <t xml:space="preserve">rfq: product_id, quantity, unit, target_price, currency, incoterms, destination, required_date, status · message: conversation_id, sender_company_id, body_original, body_translated, original_language, translated_language, sent_at, read_at</t>
  </si>
  <si>
    <t xml:space="preserve">Mỗi RFQ mở một hội thoại</t>
  </si>
  <si>
    <t xml:space="preserve">F1, F2, F3</t>
  </si>
  <si>
    <t xml:space="preserve">ContactRequest (chỉ RFQ)</t>
  </si>
  <si>
    <t xml:space="preserve">§4.8 SavedSearch</t>
  </si>
  <si>
    <t xml:space="preserve">saved_searches</t>
  </si>
  <si>
    <t xml:space="preserve">id, company_id, criteria (jsonb), created_at, last_notified_at</t>
  </si>
  <si>
    <t xml:space="preserve">jsonb chỉ cho tiêu chí</t>
  </si>
  <si>
    <t xml:space="preserve">K1, K2</t>
  </si>
  <si>
    <t xml:space="preserve">§4.9 Notification</t>
  </si>
  <si>
    <t xml:space="preserve">notifications</t>
  </si>
  <si>
    <t xml:space="preserve">id, user_id, type, payload (jsonb), link, is_read, created_at</t>
  </si>
  <si>
    <t xml:space="preserve">Loại: new_match, message, verification_status, expiry_alert, compliance_update</t>
  </si>
  <si>
    <t xml:space="preserve">H1, H2</t>
  </si>
  <si>
    <t xml:space="preserve">§4.10 AIQuery</t>
  </si>
  <si>
    <t xml:space="preserve">ai_queries</t>
  </si>
  <si>
    <t xml:space="preserve">id, user_id (nullable), question_text, answer_text, cited_sources, chunk_ids, confidence, model_version, was_helpful, escalated_to_human, created_at</t>
  </si>
  <si>
    <t xml:space="preserve">Append-only; ghi 100% câu hỏi</t>
  </si>
  <si>
    <t xml:space="preserve">D2, D3</t>
  </si>
  <si>
    <t xml:space="preserve">— (AiVerificationResult là mục đích khác)</t>
  </si>
  <si>
    <t xml:space="preserve">§4.11 AuditLog</t>
  </si>
  <si>
    <t xml:space="preserve">audit_logs</t>
  </si>
  <si>
    <t xml:space="preserve">id, actor_id, action_type, entity_type, entity_id, before_state, after_state, created_at</t>
  </si>
  <si>
    <t xml:space="preserve">Append-only; không xóa khi xóa tài khoản (GDPR ẩn danh hóa)</t>
  </si>
  <si>
    <t xml:space="preserve">XPO AuditTrail</t>
  </si>
  <si>
    <t xml:space="preserve">Mới, ngoài spec</t>
  </si>
  <si>
    <t xml:space="preserve">hs_codes, tariff_lines, product_specific_rules</t>
  </si>
  <si>
    <t xml:space="preserve">hs_codes: code, name_vi, name_en, chapter, is_calculator_supported · tariff_lines / rules: dữ liệu + source + reviewed_by + reviewed_at + valid_from/until</t>
  </si>
  <si>
    <t xml:space="preserve">Dữ liệu tuân thủ, không viết cứng trong code; dòng chưa duyệt không hiện</t>
  </si>
  <si>
    <t xml:space="preserve">B4, C1, C4</t>
  </si>
  <si>
    <t xml:space="preserve">MasterTag, MarketProfile (tham khảo)</t>
  </si>
  <si>
    <t xml:space="preserve">corpus_documents, corpus_chunks</t>
  </si>
  <si>
    <t xml:space="preserve">document: title, source, article, valid_from · chunk: text, embedding vector (pgvector), hs_codes</t>
  </si>
  <si>
    <t xml:space="preserve">Nạp lại kho không cần deploy</t>
  </si>
  <si>
    <t xml:space="preserve">D0, D1</t>
  </si>
  <si>
    <t xml:space="preserve">profile_views, dashboard_events</t>
  </si>
  <si>
    <t xml:space="preserve">company_id, viewer_company_id, viewed_at · user_id, opened_at, had_new_info</t>
  </si>
  <si>
    <t xml:space="preserve">Phục vụ G1 và chỉ số 90% của G3</t>
  </si>
  <si>
    <t xml:space="preserve">G1, G3</t>
  </si>
  <si>
    <t xml:space="preserve">Thời gian</t>
  </si>
  <si>
    <t xml:space="preserve">Mốc</t>
  </si>
  <si>
    <t xml:space="preserve">BE Python (2)</t>
  </si>
  <si>
    <t xml:space="preserve">FE Next.js (2)</t>
  </si>
  <si>
    <t xml:space="preserve">AI (50% từ T5)</t>
  </si>
  <si>
    <t xml:space="preserve">QA (từ T3)</t>
  </si>
  <si>
    <t xml:space="preserve">VYBE (Duy Tân)</t>
  </si>
  <si>
    <t xml:space="preserve">29/9–5/10</t>
  </si>
  <si>
    <t xml:space="preserve">Chốt người luồng B và luật TM</t>
  </si>
  <si>
    <t xml:space="preserve">J7, A1, I6</t>
  </si>
  <si>
    <t xml:space="preserve">A0, A3</t>
  </si>
  <si>
    <t xml:space="preserve">C0, bắt đầu D0</t>
  </si>
  <si>
    <t xml:space="preserve">Chốt quyết định tuần 1</t>
  </si>
  <si>
    <t xml:space="preserve">A1, I2, I3 sửa gấp</t>
  </si>
  <si>
    <t xml:space="preserve">6/10–12/10</t>
  </si>
  <si>
    <t xml:space="preserve">CI/CD + staging chạy; đăng ký → hồ sơ nháp</t>
  </si>
  <si>
    <t xml:space="preserve">A1, B1, B2, B3, B4, B5, C1 (bảng)</t>
  </si>
  <si>
    <t xml:space="preserve">A2, B1–B5 (giao diện), A3</t>
  </si>
  <si>
    <t xml:space="preserve">Duyệt 20 mã HS; nhập dòng thuế C1; D0</t>
  </si>
  <si>
    <t xml:space="preserve">J5 dữ liệu demo</t>
  </si>
  <si>
    <t xml:space="preserve">Launch VYBE v1: 10/10</t>
  </si>
  <si>
    <t xml:space="preserve">13/10–19/10</t>
  </si>
  <si>
    <t xml:space="preserve">20 dòng thuế đã duyệt</t>
  </si>
  <si>
    <t xml:space="preserve">C3, J1, C2 (API)</t>
  </si>
  <si>
    <t xml:space="preserve">C2 (giao diện)</t>
  </si>
  <si>
    <t xml:space="preserve">Test chuẩn C2</t>
  </si>
  <si>
    <t xml:space="preserve">Duyệt C1; D0</t>
  </si>
  <si>
    <t xml:space="preserve">Chuẩn bị SIAL</t>
  </si>
  <si>
    <t xml:space="preserve">Đóng băng 15/10</t>
  </si>
  <si>
    <t xml:space="preserve">T4</t>
  </si>
  <si>
    <t xml:space="preserve">20/10–26/10</t>
  </si>
  <si>
    <t xml:space="preserve">Máy tính thuế chạy trên staging</t>
  </si>
  <si>
    <t xml:space="preserve">C2, C4 (bảng quy tắc)</t>
  </si>
  <si>
    <t xml:space="preserve">C2, C4 (giao diện)</t>
  </si>
  <si>
    <t xml:space="preserve">Test C2, C4</t>
  </si>
  <si>
    <t xml:space="preserve">Soạn 10 ca kiểm C4; D0</t>
  </si>
  <si>
    <t xml:space="preserve">Thu phản hồi SIAL</t>
  </si>
  <si>
    <t xml:space="preserve">SIAL 17–21/10; đóng băng tính năng 22/10</t>
  </si>
  <si>
    <t xml:space="preserve">27/10–2/11</t>
  </si>
  <si>
    <t xml:space="preserve">Quy tắc xuất xứ 20 mã</t>
  </si>
  <si>
    <t xml:space="preserve">C4, I7, I1, C6</t>
  </si>
  <si>
    <t xml:space="preserve">I1, C6</t>
  </si>
  <si>
    <t xml:space="preserve">Nhận bàn giao D0</t>
  </si>
  <si>
    <t xml:space="preserve">Test C4 (10 ca)</t>
  </si>
  <si>
    <t xml:space="preserve">Duyệt C4; D0</t>
  </si>
  <si>
    <t xml:space="preserve">Chỉ sửa lỗi</t>
  </si>
  <si>
    <t xml:space="preserve">3/11–9/11</t>
  </si>
  <si>
    <t xml:space="preserve">Đủ 50 mã; duyệt hồ sơ dưới 5 phút</t>
  </si>
  <si>
    <t xml:space="preserve">C5, I2, H2, I4, I5</t>
  </si>
  <si>
    <t xml:space="preserve">I2, I4, I5</t>
  </si>
  <si>
    <t xml:space="preserve">D1 cắt đoạn + nhúng</t>
  </si>
  <si>
    <t xml:space="preserve">Test C5, I2</t>
  </si>
  <si>
    <t xml:space="preserve">Duyệt 50 mã; soạn 50 câu</t>
  </si>
  <si>
    <t xml:space="preserve">10/11–16/11</t>
  </si>
  <si>
    <t xml:space="preserve">Pipeline truy xuất chạy</t>
  </si>
  <si>
    <t xml:space="preserve">Hỗ trợ API D2</t>
  </si>
  <si>
    <t xml:space="preserve">D2 (giao diện /copilot)</t>
  </si>
  <si>
    <t xml:space="preserve">D1, D4, D2</t>
  </si>
  <si>
    <t xml:space="preserve">Chạy bộ 50 câu lần 1</t>
  </si>
  <si>
    <t xml:space="preserve">Chấm bộ 50 câu</t>
  </si>
  <si>
    <t xml:space="preserve">17/11–23/11</t>
  </si>
  <si>
    <t xml:space="preserve">Bộ 50 câu đạt ngưỡng luật TM ký</t>
  </si>
  <si>
    <t xml:space="preserve">D3, I5 (chỉ số AI)</t>
  </si>
  <si>
    <t xml:space="preserve">D3 (màn hình admin)</t>
  </si>
  <si>
    <t xml:space="preserve">D2 sửa theo kết quả</t>
  </si>
  <si>
    <t xml:space="preserve">Chạy lại bộ 50 câu</t>
  </si>
  <si>
    <t xml:space="preserve">Ký ngưỡng</t>
  </si>
  <si>
    <t xml:space="preserve">24/11–30/11</t>
  </si>
  <si>
    <t xml:space="preserve">Danh bạ công khai + RFQ</t>
  </si>
  <si>
    <t xml:space="preserve">E1, E2, F1, H1</t>
  </si>
  <si>
    <t xml:space="preserve">E2, E3, E4, F1, H1</t>
  </si>
  <si>
    <t xml:space="preserve">Theo dõi câu tin cậy thấp</t>
  </si>
  <si>
    <t xml:space="preserve">Test E, F1</t>
  </si>
  <si>
    <t xml:space="preserve">Soát mẫu AI tuần</t>
  </si>
  <si>
    <t xml:space="preserve">Onboarding doanh nghiệp thật</t>
  </si>
  <si>
    <t xml:space="preserve">1/12–7/12</t>
  </si>
  <si>
    <t xml:space="preserve">Vòng RFQ Việt–Anh hoàn tất; chạy thử chuyển dữ liệu</t>
  </si>
  <si>
    <t xml:space="preserve">F2, F3, K1, K2, J2, H2 (phần còn lại), J6 (chạy thử)</t>
  </si>
  <si>
    <t xml:space="preserve">F2, K1</t>
  </si>
  <si>
    <t xml:space="preserve">Test F2, F3, K</t>
  </si>
  <si>
    <t xml:space="preserve">Onboarding</t>
  </si>
  <si>
    <t xml:space="preserve">Cung cấp dump dữ liệu</t>
  </si>
  <si>
    <t xml:space="preserve">8/12–14/12</t>
  </si>
  <si>
    <t xml:space="preserve">Dashboard hai vai trò</t>
  </si>
  <si>
    <t xml:space="preserve">G1, G2, G3</t>
  </si>
  <si>
    <t xml:space="preserve">G1, G2, J3, A3 (rà chuỗi)</t>
  </si>
  <si>
    <t xml:space="preserve">J3 trên 390px</t>
  </si>
  <si>
    <t xml:space="preserve">Ký pilot</t>
  </si>
  <si>
    <t xml:space="preserve">15/12–21/12</t>
  </si>
  <si>
    <t xml:space="preserve">MVP hoàn tất theo spec §11</t>
  </si>
  <si>
    <t xml:space="preserve">J6 (chạy thật), J8, sửa lỗi</t>
  </si>
  <si>
    <t xml:space="preserve">Sửa lỗi</t>
  </si>
  <si>
    <t xml:space="preserve">J4, J8</t>
  </si>
  <si>
    <t xml:space="preserve">50–100 doanh nghiệp, 2–3 pilot</t>
  </si>
  <si>
    <t xml:space="preserve">Tắt VYBE hoặc chuyển hướng</t>
  </si>
</sst>
</file>

<file path=xl/styles.xml><?xml version="1.0" encoding="utf-8"?>
<styleSheet xmlns="http://schemas.openxmlformats.org/spreadsheetml/2006/main">
  <numFmts count="4">
    <numFmt numFmtId="164" formatCode="General"/>
    <numFmt numFmtId="165" formatCode="0.0"/>
    <numFmt numFmtId="166" formatCode="0%"/>
    <numFmt numFmtId="167" formatCode="0.0;[RED]\-0.0;\-"/>
  </numFmts>
  <fonts count="10">
    <font>
      <sz val="11"/>
      <color theme="1"/>
      <name val="Calibri"/>
      <family val="2"/>
      <charset val="1"/>
    </font>
    <font>
      <sz val="10"/>
      <name val="Arial"/>
      <family val="0"/>
    </font>
    <font>
      <sz val="10"/>
      <name val="Arial"/>
      <family val="0"/>
    </font>
    <font>
      <sz val="10"/>
      <name val="Arial"/>
      <family val="0"/>
    </font>
    <font>
      <b val="true"/>
      <sz val="12"/>
      <color rgb="FF1F4E5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color rgb="FF555555"/>
      <name val="Arial"/>
      <family val="0"/>
      <charset val="1"/>
    </font>
  </fonts>
  <fills count="4">
    <fill>
      <patternFill patternType="none"/>
    </fill>
    <fill>
      <patternFill patternType="gray125"/>
    </fill>
    <fill>
      <patternFill patternType="solid">
        <fgColor rgb="FFE8EEF1"/>
        <bgColor rgb="FFE2F0D9"/>
      </patternFill>
    </fill>
    <fill>
      <patternFill patternType="solid">
        <fgColor rgb="FF1F4E5F"/>
        <bgColor rgb="FF333333"/>
      </patternFill>
    </fill>
  </fills>
  <borders count="2">
    <border diagonalUp="false" diagonalDown="false">
      <left/>
      <right/>
      <top/>
      <bottom/>
      <diagonal/>
    </border>
    <border diagonalUp="false" diagonalDown="false">
      <left style="thin">
        <color rgb="FFD0D7DC"/>
      </left>
      <right style="thin">
        <color rgb="FFD0D7DC"/>
      </right>
      <top style="thin">
        <color rgb="FFD0D7DC"/>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bgColor rgb="FFE2F0D9"/>
        </patternFill>
      </fill>
    </dxf>
    <dxf>
      <fill>
        <patternFill>
          <bgColor rgb="FFF8D7DA"/>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EF1"/>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5" hidden="false" customHeight="false" outlineLevel="0" collapsed="false">
      <c r="A1" s="1" t="s">
        <v>0</v>
      </c>
    </row>
    <row r="2" customFormat="false" ht="15" hidden="false" customHeight="false" outlineLevel="0" collapsed="false">
      <c r="A2" s="2" t="s">
        <v>1</v>
      </c>
      <c r="B2" s="3" t="s">
        <v>2</v>
      </c>
    </row>
    <row r="3" customFormat="false" ht="23.85" hidden="false" customHeight="false" outlineLevel="0" collapsed="false">
      <c r="A3" s="2" t="s">
        <v>3</v>
      </c>
      <c r="B3" s="3" t="s">
        <v>4</v>
      </c>
    </row>
    <row r="4" customFormat="false" ht="23.85" hidden="false" customHeight="false" outlineLevel="0" collapsed="false">
      <c r="A4" s="2" t="s">
        <v>5</v>
      </c>
      <c r="B4" s="3" t="s">
        <v>6</v>
      </c>
    </row>
    <row r="5" customFormat="false" ht="23.85" hidden="false" customHeight="false" outlineLevel="0" collapsed="false">
      <c r="A5" s="2" t="s">
        <v>7</v>
      </c>
      <c r="B5" s="3" t="s">
        <v>8</v>
      </c>
    </row>
    <row r="6" customFormat="false" ht="23.85" hidden="false" customHeight="false" outlineLevel="0" collapsed="false">
      <c r="A6" s="2" t="s">
        <v>9</v>
      </c>
      <c r="B6" s="3" t="s">
        <v>10</v>
      </c>
    </row>
    <row r="7" customFormat="false" ht="15" hidden="false" customHeight="false" outlineLevel="0" collapsed="false">
      <c r="A7" s="2" t="s">
        <v>11</v>
      </c>
      <c r="B7" s="3" t="s">
        <v>12</v>
      </c>
    </row>
    <row r="8" customFormat="false" ht="23.85" hidden="false" customHeight="false" outlineLevel="0" collapsed="false">
      <c r="A8" s="2" t="s">
        <v>13</v>
      </c>
      <c r="B8" s="3" t="s">
        <v>14</v>
      </c>
    </row>
    <row r="9" customFormat="false" ht="23.85" hidden="false" customHeight="false" outlineLevel="0" collapsed="false">
      <c r="A9" s="2" t="s">
        <v>15</v>
      </c>
      <c r="B9" s="3" t="s">
        <v>16</v>
      </c>
    </row>
    <row r="10" customFormat="false" ht="15" hidden="false" customHeight="false" outlineLevel="0" collapsed="false">
      <c r="A10" s="2" t="s">
        <v>17</v>
      </c>
      <c r="B10" s="3" t="s">
        <v>18</v>
      </c>
    </row>
    <row r="11" customFormat="false" ht="23.85" hidden="false" customHeight="false" outlineLevel="0" collapsed="false">
      <c r="A11" s="2" t="s">
        <v>19</v>
      </c>
      <c r="B11" s="3" t="s">
        <v>20</v>
      </c>
    </row>
    <row r="12" customFormat="false" ht="15" hidden="false" customHeight="false" outlineLevel="0" collapsed="false">
      <c r="A12" s="2" t="s">
        <v>21</v>
      </c>
      <c r="B12" s="3" t="s">
        <v>22</v>
      </c>
    </row>
    <row r="13" customFormat="false" ht="15" hidden="false" customHeight="false" outlineLevel="0" collapsed="false">
      <c r="A13" s="2" t="s">
        <v>23</v>
      </c>
      <c r="B13" s="3" t="s">
        <v>24</v>
      </c>
    </row>
    <row r="14" customFormat="false" ht="15" hidden="false" customHeight="false" outlineLevel="0" collapsed="false">
      <c r="A14" s="2" t="s">
        <v>25</v>
      </c>
      <c r="B14"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4" min="3" style="0" width="16"/>
    <col collapsed="false" customWidth="true" hidden="false" outlineLevel="0" max="5" min="5" style="0" width="18"/>
    <col collapsed="false" customWidth="true" hidden="false" outlineLevel="0" max="6" min="6" style="0" width="16"/>
    <col collapsed="false" customWidth="true" hidden="false" outlineLevel="0" max="7" min="7" style="0" width="20"/>
    <col collapsed="false" customWidth="true" hidden="false" outlineLevel="0" max="8" min="8" style="0" width="18"/>
  </cols>
  <sheetData>
    <row r="1" customFormat="false" ht="15" hidden="false" customHeight="false" outlineLevel="0" collapsed="false">
      <c r="A1" s="1" t="s">
        <v>27</v>
      </c>
      <c r="B1" s="4"/>
      <c r="C1" s="4"/>
      <c r="D1" s="4"/>
      <c r="E1" s="4"/>
      <c r="F1" s="4"/>
      <c r="G1" s="4"/>
      <c r="H1" s="4"/>
    </row>
    <row r="2" customFormat="false" ht="15" hidden="false" customHeight="false" outlineLevel="0" collapsed="false">
      <c r="A2" s="5" t="s">
        <v>28</v>
      </c>
      <c r="B2" s="5" t="s">
        <v>29</v>
      </c>
      <c r="C2" s="5" t="s">
        <v>30</v>
      </c>
      <c r="D2" s="4"/>
      <c r="E2" s="4"/>
      <c r="F2" s="4"/>
      <c r="G2" s="4"/>
      <c r="H2" s="4"/>
    </row>
    <row r="3" customFormat="false" ht="15" hidden="false" customHeight="false" outlineLevel="0" collapsed="false">
      <c r="A3" s="6" t="s">
        <v>31</v>
      </c>
      <c r="B3" s="7" t="n">
        <v>4</v>
      </c>
      <c r="C3" s="4" t="s">
        <v>32</v>
      </c>
      <c r="D3" s="4"/>
      <c r="E3" s="4"/>
      <c r="F3" s="4"/>
      <c r="G3" s="4"/>
      <c r="H3" s="4"/>
    </row>
    <row r="4" customFormat="false" ht="15" hidden="false" customHeight="false" outlineLevel="0" collapsed="false">
      <c r="A4" s="6" t="s">
        <v>33</v>
      </c>
      <c r="B4" s="7" t="n">
        <v>10</v>
      </c>
      <c r="C4" s="4" t="s">
        <v>34</v>
      </c>
      <c r="D4" s="4"/>
      <c r="E4" s="4"/>
      <c r="F4" s="4"/>
      <c r="G4" s="4"/>
      <c r="H4" s="4"/>
    </row>
    <row r="5" customFormat="false" ht="15" hidden="false" customHeight="false" outlineLevel="0" collapsed="false">
      <c r="A5" s="6" t="s">
        <v>35</v>
      </c>
      <c r="B5" s="8" t="n">
        <v>0.7</v>
      </c>
      <c r="C5" s="4" t="s">
        <v>36</v>
      </c>
      <c r="D5" s="4"/>
      <c r="E5" s="4"/>
      <c r="F5" s="4"/>
      <c r="G5" s="4"/>
      <c r="H5" s="4"/>
    </row>
    <row r="6" customFormat="false" ht="15" hidden="false" customHeight="false" outlineLevel="0" collapsed="false">
      <c r="A6" s="6" t="s">
        <v>37</v>
      </c>
      <c r="B6" s="9" t="n">
        <v>0.3</v>
      </c>
      <c r="C6" s="4" t="s">
        <v>38</v>
      </c>
      <c r="D6" s="4"/>
      <c r="E6" s="4"/>
      <c r="F6" s="4"/>
      <c r="G6" s="4"/>
      <c r="H6" s="4"/>
    </row>
    <row r="7" customFormat="false" ht="15" hidden="false" customHeight="false" outlineLevel="0" collapsed="false">
      <c r="A7" s="6" t="s">
        <v>39</v>
      </c>
      <c r="B7" s="9" t="n">
        <v>0.2</v>
      </c>
      <c r="C7" s="4" t="s">
        <v>40</v>
      </c>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4"/>
      <c r="B9" s="4"/>
      <c r="C9" s="4"/>
      <c r="D9" s="4"/>
      <c r="E9" s="4"/>
      <c r="F9" s="4"/>
      <c r="G9" s="4"/>
      <c r="H9" s="4"/>
    </row>
    <row r="10" customFormat="false" ht="15" hidden="false" customHeight="false" outlineLevel="0" collapsed="false">
      <c r="A10" s="1" t="s">
        <v>41</v>
      </c>
      <c r="B10" s="4"/>
      <c r="C10" s="4"/>
      <c r="D10" s="4"/>
      <c r="E10" s="4"/>
      <c r="F10" s="4"/>
      <c r="G10" s="4"/>
      <c r="H10" s="4"/>
    </row>
    <row r="11" customFormat="false" ht="23.85" hidden="false" customHeight="false" outlineLevel="0" collapsed="false">
      <c r="A11" s="5" t="s">
        <v>9</v>
      </c>
      <c r="B11" s="5" t="s">
        <v>42</v>
      </c>
      <c r="C11" s="5" t="s">
        <v>43</v>
      </c>
      <c r="D11" s="5" t="s">
        <v>44</v>
      </c>
      <c r="E11" s="5" t="s">
        <v>45</v>
      </c>
      <c r="F11" s="5" t="s">
        <v>46</v>
      </c>
      <c r="G11" s="5" t="s">
        <v>47</v>
      </c>
      <c r="H11" s="5" t="s">
        <v>48</v>
      </c>
    </row>
    <row r="12" customFormat="false" ht="15" hidden="false" customHeight="false" outlineLevel="0" collapsed="false">
      <c r="A12" s="6" t="s">
        <v>49</v>
      </c>
      <c r="B12" s="4" t="n">
        <f aca="false">COUNTIFS(Backlog!$J$2:$J$58,A12)</f>
        <v>13</v>
      </c>
      <c r="C12" s="10" t="n">
        <f aca="false">SUMIFS(Backlog!$H$2:$H$58,Backlog!$J$2:$J$58,A12)</f>
        <v>24.5</v>
      </c>
      <c r="D12" s="10" t="n">
        <f aca="false">SUMIFS(Backlog!$I$2:$I$58,Backlog!$J$2:$J$58,A12)</f>
        <v>6.5</v>
      </c>
      <c r="E12" s="10" t="n">
        <f aca="false">$B$3*$B$4*$B$5</f>
        <v>28</v>
      </c>
      <c r="F12" s="10" t="n">
        <f aca="false">E12-C12*(1+$B$7)</f>
        <v>-1.4</v>
      </c>
      <c r="G12" s="10" t="n">
        <f aca="false">$B$4*$B$6</f>
        <v>3</v>
      </c>
      <c r="H12" s="10" t="n">
        <f aca="false">G12-D12</f>
        <v>-3.5</v>
      </c>
    </row>
    <row r="13" customFormat="false" ht="15" hidden="false" customHeight="false" outlineLevel="0" collapsed="false">
      <c r="A13" s="6" t="s">
        <v>50</v>
      </c>
      <c r="B13" s="4" t="n">
        <f aca="false">COUNTIFS(Backlog!$J$2:$J$58,A13)</f>
        <v>5</v>
      </c>
      <c r="C13" s="10" t="n">
        <f aca="false">SUMIFS(Backlog!$H$2:$H$58,Backlog!$J$2:$J$58,A13)</f>
        <v>11</v>
      </c>
      <c r="D13" s="10" t="n">
        <f aca="false">SUMIFS(Backlog!$I$2:$I$58,Backlog!$J$2:$J$58,A13)</f>
        <v>5</v>
      </c>
      <c r="E13" s="10" t="n">
        <f aca="false">$B$3*$B$4*$B$5</f>
        <v>28</v>
      </c>
      <c r="F13" s="10" t="n">
        <f aca="false">E13-C13*(1+$B$7)</f>
        <v>14.8</v>
      </c>
      <c r="G13" s="10" t="n">
        <f aca="false">$B$4*$B$6</f>
        <v>3</v>
      </c>
      <c r="H13" s="10" t="n">
        <f aca="false">G13-D13</f>
        <v>-2</v>
      </c>
    </row>
    <row r="14" customFormat="false" ht="15" hidden="false" customHeight="false" outlineLevel="0" collapsed="false">
      <c r="A14" s="6" t="s">
        <v>51</v>
      </c>
      <c r="B14" s="4" t="n">
        <f aca="false">COUNTIFS(Backlog!$J$2:$J$58,A14)</f>
        <v>8</v>
      </c>
      <c r="C14" s="10" t="n">
        <f aca="false">SUMIFS(Backlog!$H$2:$H$58,Backlog!$J$2:$J$58,A14)</f>
        <v>17</v>
      </c>
      <c r="D14" s="10" t="n">
        <f aca="false">SUMIFS(Backlog!$I$2:$I$58,Backlog!$J$2:$J$58,A14)</f>
        <v>1.5</v>
      </c>
      <c r="E14" s="10" t="n">
        <f aca="false">$B$3*$B$4*$B$5</f>
        <v>28</v>
      </c>
      <c r="F14" s="10" t="n">
        <f aca="false">E14-C14*(1+$B$7)</f>
        <v>7.6</v>
      </c>
      <c r="G14" s="10" t="n">
        <f aca="false">$B$4*$B$6</f>
        <v>3</v>
      </c>
      <c r="H14" s="10" t="n">
        <f aca="false">G14-D14</f>
        <v>1.5</v>
      </c>
    </row>
    <row r="15" customFormat="false" ht="15" hidden="false" customHeight="false" outlineLevel="0" collapsed="false">
      <c r="A15" s="6" t="s">
        <v>52</v>
      </c>
      <c r="B15" s="4" t="n">
        <f aca="false">COUNTIFS(Backlog!$J$2:$J$58,A15)</f>
        <v>4</v>
      </c>
      <c r="C15" s="10" t="n">
        <f aca="false">SUMIFS(Backlog!$H$2:$H$58,Backlog!$J$2:$J$58,A15)</f>
        <v>12</v>
      </c>
      <c r="D15" s="10" t="n">
        <f aca="false">SUMIFS(Backlog!$I$2:$I$58,Backlog!$J$2:$J$58,A15)</f>
        <v>3</v>
      </c>
      <c r="E15" s="10" t="n">
        <f aca="false">$B$3*$B$4*$B$5</f>
        <v>28</v>
      </c>
      <c r="F15" s="10" t="n">
        <f aca="false">E15-C15*(1+$B$7)</f>
        <v>13.6</v>
      </c>
      <c r="G15" s="10" t="n">
        <f aca="false">$B$4*$B$6</f>
        <v>3</v>
      </c>
      <c r="H15" s="10" t="n">
        <f aca="false">G15-D15</f>
        <v>0</v>
      </c>
    </row>
    <row r="16" customFormat="false" ht="15" hidden="false" customHeight="false" outlineLevel="0" collapsed="false">
      <c r="A16" s="6" t="s">
        <v>53</v>
      </c>
      <c r="B16" s="4" t="n">
        <f aca="false">COUNTIFS(Backlog!$J$2:$J$58,A16)</f>
        <v>11</v>
      </c>
      <c r="C16" s="10" t="n">
        <f aca="false">SUMIFS(Backlog!$H$2:$H$58,Backlog!$J$2:$J$58,A16)</f>
        <v>19</v>
      </c>
      <c r="D16" s="10" t="n">
        <f aca="false">SUMIFS(Backlog!$I$2:$I$58,Backlog!$J$2:$J$58,A16)</f>
        <v>0</v>
      </c>
      <c r="E16" s="10" t="n">
        <f aca="false">$B$3*$B$4*$B$5</f>
        <v>28</v>
      </c>
      <c r="F16" s="10" t="n">
        <f aca="false">E16-C16*(1+$B$7)</f>
        <v>5.2</v>
      </c>
      <c r="G16" s="10" t="n">
        <f aca="false">$B$4*$B$6</f>
        <v>3</v>
      </c>
      <c r="H16" s="10" t="n">
        <f aca="false">G16-D16</f>
        <v>3</v>
      </c>
    </row>
    <row r="17" customFormat="false" ht="15" hidden="false" customHeight="false" outlineLevel="0" collapsed="false">
      <c r="A17" s="6" t="s">
        <v>54</v>
      </c>
      <c r="B17" s="4" t="n">
        <f aca="false">COUNTIFS(Backlog!$J$2:$J$58,A17)</f>
        <v>8</v>
      </c>
      <c r="C17" s="10" t="n">
        <f aca="false">SUMIFS(Backlog!$H$2:$H$58,Backlog!$J$2:$J$58,A17)</f>
        <v>14</v>
      </c>
      <c r="D17" s="10" t="n">
        <f aca="false">SUMIFS(Backlog!$I$2:$I$58,Backlog!$J$2:$J$58,A17)</f>
        <v>0</v>
      </c>
      <c r="E17" s="10" t="n">
        <f aca="false">$B$3*$B$4*$B$5</f>
        <v>28</v>
      </c>
      <c r="F17" s="10" t="n">
        <f aca="false">E17-C17*(1+$B$7)</f>
        <v>11.2</v>
      </c>
      <c r="G17" s="10" t="n">
        <f aca="false">$B$4*$B$6</f>
        <v>3</v>
      </c>
      <c r="H17" s="10" t="n">
        <f aca="false">G17-D17</f>
        <v>3</v>
      </c>
    </row>
    <row r="18" customFormat="false" ht="15" hidden="false" customHeight="false" outlineLevel="0" collapsed="false">
      <c r="A18" s="6" t="s">
        <v>55</v>
      </c>
      <c r="B18" s="4" t="n">
        <f aca="false">COUNTIFS(Backlog!$J$2:$J$58,A18)</f>
        <v>1</v>
      </c>
      <c r="C18" s="10" t="n">
        <f aca="false">SUMIFS(Backlog!$H$2:$H$58,Backlog!$J$2:$J$58,A18)</f>
        <v>0</v>
      </c>
      <c r="D18" s="10" t="n">
        <f aca="false">SUMIFS(Backlog!$I$2:$I$58,Backlog!$J$2:$J$58,A18)</f>
        <v>0</v>
      </c>
      <c r="E18" s="10"/>
      <c r="F18" s="10"/>
      <c r="G18" s="10"/>
      <c r="H18" s="10"/>
    </row>
    <row r="19" customFormat="false" ht="15" hidden="false" customHeight="false" outlineLevel="0" collapsed="false">
      <c r="A19" s="6" t="s">
        <v>56</v>
      </c>
      <c r="B19" s="4" t="n">
        <f aca="false">COUNTIFS(Backlog!$J$2:$J$58,A19)</f>
        <v>7</v>
      </c>
      <c r="C19" s="10" t="n">
        <f aca="false">SUMIFS(Backlog!$H$2:$H$58,Backlog!$J$2:$J$58,A19)</f>
        <v>0</v>
      </c>
      <c r="D19" s="10" t="n">
        <f aca="false">SUMIFS(Backlog!$I$2:$I$58,Backlog!$J$2:$J$58,A19)</f>
        <v>0</v>
      </c>
      <c r="E19" s="10"/>
      <c r="F19" s="10"/>
      <c r="G19" s="10"/>
      <c r="H19" s="10"/>
    </row>
    <row r="20" customFormat="false" ht="15" hidden="false" customHeight="false" outlineLevel="0" collapsed="false">
      <c r="A20" s="6" t="s">
        <v>57</v>
      </c>
      <c r="B20" s="6" t="n">
        <f aca="false">SUM(B12:B19)</f>
        <v>57</v>
      </c>
      <c r="C20" s="11" t="n">
        <f aca="false">SUM(C12:C19)</f>
        <v>97.5</v>
      </c>
      <c r="D20" s="11" t="n">
        <f aca="false">SUM(D12:D19)</f>
        <v>16</v>
      </c>
      <c r="E20" s="11" t="n">
        <f aca="false">SUM(E12:E19)</f>
        <v>168</v>
      </c>
      <c r="F20" s="11" t="n">
        <f aca="false">SUM(F12:F19)</f>
        <v>51</v>
      </c>
      <c r="G20" s="11" t="n">
        <f aca="false">SUM(G12:G19)</f>
        <v>18</v>
      </c>
      <c r="H20" s="11" t="n">
        <f aca="false">SUM(H12:H19)</f>
        <v>2</v>
      </c>
    </row>
    <row r="21" customFormat="false" ht="15" hidden="false" customHeight="false" outlineLevel="0" collapsed="false">
      <c r="A21" s="12" t="s">
        <v>58</v>
      </c>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1" t="s">
        <v>59</v>
      </c>
      <c r="B23" s="4"/>
      <c r="C23" s="4"/>
      <c r="D23" s="4"/>
      <c r="E23" s="4"/>
      <c r="F23" s="4"/>
      <c r="G23" s="4"/>
      <c r="H23" s="4"/>
    </row>
    <row r="24" customFormat="false" ht="15" hidden="false" customHeight="false" outlineLevel="0" collapsed="false">
      <c r="A24" s="5" t="s">
        <v>28</v>
      </c>
      <c r="B24" s="5" t="s">
        <v>29</v>
      </c>
      <c r="C24" s="5" t="s">
        <v>30</v>
      </c>
      <c r="D24" s="4"/>
      <c r="E24" s="4"/>
      <c r="F24" s="4"/>
      <c r="G24" s="4"/>
      <c r="H24" s="4"/>
    </row>
    <row r="25" customFormat="false" ht="15" hidden="false" customHeight="false" outlineLevel="0" collapsed="false">
      <c r="A25" s="6" t="s">
        <v>60</v>
      </c>
      <c r="B25" s="10" t="n">
        <f aca="false">C20*(1+B7)</f>
        <v>117</v>
      </c>
      <c r="C25" s="4" t="s">
        <v>61</v>
      </c>
      <c r="D25" s="4"/>
      <c r="E25" s="4"/>
      <c r="F25" s="4"/>
      <c r="G25" s="4"/>
      <c r="H25" s="4"/>
    </row>
    <row r="26" customFormat="false" ht="15" hidden="false" customHeight="false" outlineLevel="0" collapsed="false">
      <c r="A26" s="6" t="s">
        <v>62</v>
      </c>
      <c r="B26" s="10" t="n">
        <f aca="false">B3*B4*6*B5</f>
        <v>168</v>
      </c>
      <c r="C26" s="4"/>
      <c r="D26" s="4"/>
      <c r="E26" s="4"/>
      <c r="F26" s="4"/>
      <c r="G26" s="4"/>
      <c r="H26" s="4"/>
    </row>
    <row r="27" customFormat="false" ht="15" hidden="false" customHeight="false" outlineLevel="0" collapsed="false">
      <c r="A27" s="6" t="s">
        <v>63</v>
      </c>
      <c r="B27" s="10" t="n">
        <f aca="false">B26-B25</f>
        <v>51</v>
      </c>
      <c r="C27" s="4"/>
      <c r="D27" s="4"/>
      <c r="E27" s="4"/>
      <c r="F27" s="4"/>
      <c r="G27" s="4"/>
      <c r="H27" s="4"/>
    </row>
    <row r="28" customFormat="false" ht="15" hidden="false" customHeight="false" outlineLevel="0" collapsed="false">
      <c r="A28" s="6" t="s">
        <v>64</v>
      </c>
      <c r="B28" s="10" t="str">
        <f aca="false">IF(B27&lt;0,"Thiếu năng lực: cắt P1 hoặc thêm người","Đủ năng lực")</f>
        <v>Đủ năng lực</v>
      </c>
      <c r="C28" s="4"/>
      <c r="D28" s="4"/>
      <c r="E28" s="4"/>
      <c r="F28" s="4"/>
      <c r="G28" s="4"/>
      <c r="H28" s="4"/>
    </row>
    <row r="29" customFormat="false" ht="15" hidden="false" customHeight="false" outlineLevel="0" collapsed="false">
      <c r="A29" s="6" t="s">
        <v>65</v>
      </c>
      <c r="B29" s="10" t="n">
        <f aca="false">D20</f>
        <v>16</v>
      </c>
      <c r="C29" s="4"/>
      <c r="D29" s="4"/>
      <c r="E29" s="4"/>
      <c r="F29" s="4"/>
      <c r="G29" s="4"/>
      <c r="H29" s="4"/>
    </row>
    <row r="30" customFormat="false" ht="15" hidden="false" customHeight="false" outlineLevel="0" collapsed="false">
      <c r="A30" s="6" t="s">
        <v>66</v>
      </c>
      <c r="B30" s="10" t="n">
        <f aca="false">B4*6*B6</f>
        <v>18</v>
      </c>
      <c r="C30" s="4"/>
      <c r="D30" s="4"/>
      <c r="E30" s="4"/>
      <c r="F30" s="4"/>
      <c r="G30" s="4"/>
      <c r="H30" s="4"/>
    </row>
    <row r="31" customFormat="false" ht="15" hidden="false" customHeight="false" outlineLevel="0" collapsed="false">
      <c r="A31" s="6" t="s">
        <v>67</v>
      </c>
      <c r="B31" s="10" t="str">
        <f aca="false">IF(COUNTIFS(H12:H17,"&lt;0")&gt;0,"Quá tải ở "&amp;COUNTIFS(H12:H17,"&lt;0")&amp;" giai đoạn: tăng % thời gian GĐ1–GĐ2","Đủ năng lực")</f>
        <v>Quá tải ở 2 giai đoạn: tăng % thời gian GĐ1–GĐ2</v>
      </c>
      <c r="C31" s="4" t="s">
        <v>68</v>
      </c>
      <c r="D31" s="4"/>
      <c r="E31" s="4"/>
      <c r="F31" s="4"/>
      <c r="G31" s="4"/>
      <c r="H31" s="4"/>
    </row>
    <row r="32" customFormat="false" ht="15" hidden="false" customHeight="false" outlineLevel="0" collapsed="false">
      <c r="A32" s="4"/>
      <c r="B32" s="4"/>
      <c r="C32" s="4"/>
      <c r="D32" s="4"/>
      <c r="E32" s="4"/>
      <c r="F32" s="4"/>
      <c r="G32" s="4"/>
      <c r="H32" s="4"/>
    </row>
    <row r="33" customFormat="false" ht="15" hidden="false" customHeight="false" outlineLevel="0" collapsed="false">
      <c r="A33" s="1" t="s">
        <v>69</v>
      </c>
      <c r="B33" s="4"/>
      <c r="C33" s="4"/>
      <c r="D33" s="4"/>
      <c r="E33" s="4"/>
      <c r="F33" s="4"/>
      <c r="G33" s="4"/>
      <c r="H33" s="4"/>
    </row>
    <row r="34" customFormat="false" ht="15" hidden="false" customHeight="false" outlineLevel="0" collapsed="false">
      <c r="A34" s="5" t="s">
        <v>70</v>
      </c>
      <c r="B34" s="5" t="s">
        <v>42</v>
      </c>
      <c r="C34" s="5" t="s">
        <v>43</v>
      </c>
      <c r="D34" s="5" t="s">
        <v>44</v>
      </c>
      <c r="E34" s="4"/>
      <c r="F34" s="4"/>
      <c r="G34" s="4"/>
      <c r="H34" s="4"/>
    </row>
    <row r="35" customFormat="false" ht="15" hidden="false" customHeight="false" outlineLevel="0" collapsed="false">
      <c r="A35" s="6" t="s">
        <v>71</v>
      </c>
      <c r="B35" s="4" t="n">
        <f aca="false">COUNTIFS(Backlog!$C$2:$C$58,A35)</f>
        <v>47</v>
      </c>
      <c r="C35" s="4" t="n">
        <f aca="false">SUMIFS(Backlog!$H$2:$H$58,Backlog!$C$2:$C$58,A35)</f>
        <v>95</v>
      </c>
      <c r="D35" s="4" t="n">
        <f aca="false">SUMIFS(Backlog!$I$2:$I$58,Backlog!$C$2:$C$58,A35)</f>
        <v>16</v>
      </c>
      <c r="E35" s="4"/>
      <c r="F35" s="4"/>
      <c r="G35" s="4"/>
      <c r="H35" s="4"/>
    </row>
    <row r="36" customFormat="false" ht="15" hidden="false" customHeight="false" outlineLevel="0" collapsed="false">
      <c r="A36" s="6" t="s">
        <v>72</v>
      </c>
      <c r="B36" s="4" t="n">
        <f aca="false">COUNTIFS(Backlog!$C$2:$C$58,A36)</f>
        <v>2</v>
      </c>
      <c r="C36" s="4" t="n">
        <f aca="false">SUMIFS(Backlog!$H$2:$H$58,Backlog!$C$2:$C$58,A36)</f>
        <v>2.5</v>
      </c>
      <c r="D36" s="4" t="n">
        <f aca="false">SUMIFS(Backlog!$I$2:$I$58,Backlog!$C$2:$C$58,A36)</f>
        <v>0</v>
      </c>
      <c r="E36" s="4"/>
      <c r="F36" s="4"/>
      <c r="G36" s="4"/>
      <c r="H36" s="4"/>
    </row>
    <row r="37" customFormat="false" ht="15" hidden="false" customHeight="false" outlineLevel="0" collapsed="false">
      <c r="A37" s="6" t="s">
        <v>73</v>
      </c>
      <c r="B37" s="4" t="n">
        <f aca="false">COUNTIFS(Backlog!$C$2:$C$58,A37)</f>
        <v>7</v>
      </c>
      <c r="C37" s="4" t="n">
        <f aca="false">SUMIFS(Backlog!$H$2:$H$58,Backlog!$C$2:$C$58,A37)</f>
        <v>0</v>
      </c>
      <c r="D37" s="4" t="n">
        <f aca="false">SUMIFS(Backlog!$I$2:$I$58,Backlog!$C$2:$C$58,A37)</f>
        <v>0</v>
      </c>
      <c r="E37" s="4"/>
      <c r="F37" s="4"/>
      <c r="G37" s="4"/>
      <c r="H37" s="4"/>
    </row>
    <row r="38" customFormat="false" ht="15" hidden="false" customHeight="false" outlineLevel="0" collapsed="false">
      <c r="A38" s="6" t="s">
        <v>74</v>
      </c>
      <c r="B38" s="4" t="n">
        <f aca="false">COUNTIFS(Backlog!$C$2:$C$58,A38)</f>
        <v>1</v>
      </c>
      <c r="C38" s="4" t="n">
        <f aca="false">SUMIFS(Backlog!$H$2:$H$58,Backlog!$C$2:$C$58,A38)</f>
        <v>0</v>
      </c>
      <c r="D38" s="4" t="n">
        <f aca="false">SUMIFS(Backlog!$I$2:$I$58,Backlog!$C$2:$C$58,A38)</f>
        <v>0</v>
      </c>
      <c r="E38" s="4"/>
      <c r="F38" s="4"/>
      <c r="G38" s="4"/>
      <c r="H38" s="4"/>
    </row>
    <row r="39" customFormat="false" ht="15" hidden="false" customHeight="false" outlineLevel="0" collapsed="false">
      <c r="A39" s="4"/>
      <c r="B39" s="4"/>
      <c r="C39" s="4"/>
      <c r="D39" s="4"/>
      <c r="E39" s="4"/>
      <c r="F39" s="4"/>
      <c r="G39" s="4"/>
      <c r="H39" s="4"/>
    </row>
    <row r="40" customFormat="false" ht="15" hidden="false" customHeight="false" outlineLevel="0" collapsed="false">
      <c r="A40" s="1" t="s">
        <v>75</v>
      </c>
      <c r="B40" s="4"/>
      <c r="C40" s="4"/>
      <c r="D40" s="4"/>
      <c r="E40" s="4"/>
      <c r="F40" s="4"/>
      <c r="G40" s="4"/>
      <c r="H40" s="4"/>
    </row>
    <row r="41" customFormat="false" ht="15" hidden="false" customHeight="false" outlineLevel="0" collapsed="false">
      <c r="A41" s="5" t="s">
        <v>76</v>
      </c>
      <c r="B41" s="5" t="s">
        <v>42</v>
      </c>
      <c r="C41" s="5" t="s">
        <v>43</v>
      </c>
      <c r="D41" s="5" t="s">
        <v>44</v>
      </c>
      <c r="E41" s="4"/>
      <c r="F41" s="4"/>
      <c r="G41" s="4"/>
      <c r="H41" s="4"/>
    </row>
    <row r="42" customFormat="false" ht="15" hidden="false" customHeight="false" outlineLevel="0" collapsed="false">
      <c r="A42" s="6" t="s">
        <v>77</v>
      </c>
      <c r="B42" s="4" t="n">
        <f aca="false">COUNTIFS(Backlog!$D$2:$D$58,A42)</f>
        <v>2</v>
      </c>
      <c r="C42" s="4" t="n">
        <f aca="false">SUMIFS(Backlog!$H$2:$H$58,Backlog!$D$2:$D$58,A42)</f>
        <v>7</v>
      </c>
      <c r="D42" s="4" t="n">
        <f aca="false">SUMIFS(Backlog!$I$2:$I$58,Backlog!$D$2:$D$58,A42)</f>
        <v>0</v>
      </c>
      <c r="E42" s="4"/>
      <c r="F42" s="4"/>
      <c r="G42" s="4"/>
      <c r="H42" s="4"/>
    </row>
    <row r="43" customFormat="false" ht="15" hidden="false" customHeight="false" outlineLevel="0" collapsed="false">
      <c r="A43" s="6" t="s">
        <v>78</v>
      </c>
      <c r="B43" s="4" t="n">
        <f aca="false">COUNTIFS(Backlog!$D$2:$D$58,A43)</f>
        <v>6</v>
      </c>
      <c r="C43" s="4" t="n">
        <f aca="false">SUMIFS(Backlog!$H$2:$H$58,Backlog!$D$2:$D$58,A43)</f>
        <v>11</v>
      </c>
      <c r="D43" s="4" t="n">
        <f aca="false">SUMIFS(Backlog!$I$2:$I$58,Backlog!$D$2:$D$58,A43)</f>
        <v>0</v>
      </c>
      <c r="E43" s="4"/>
      <c r="F43" s="4"/>
      <c r="G43" s="4"/>
      <c r="H43" s="4"/>
    </row>
    <row r="44" customFormat="false" ht="15" hidden="false" customHeight="false" outlineLevel="0" collapsed="false">
      <c r="A44" s="6" t="s">
        <v>79</v>
      </c>
      <c r="B44" s="4" t="n">
        <f aca="false">COUNTIFS(Backlog!$D$2:$D$58,A44)</f>
        <v>3</v>
      </c>
      <c r="C44" s="4" t="n">
        <f aca="false">SUMIFS(Backlog!$H$2:$H$58,Backlog!$D$2:$D$58,A44)</f>
        <v>7</v>
      </c>
      <c r="D44" s="4" t="n">
        <f aca="false">SUMIFS(Backlog!$I$2:$I$58,Backlog!$D$2:$D$58,A44)</f>
        <v>0</v>
      </c>
      <c r="E44" s="4"/>
      <c r="F44" s="4"/>
      <c r="G44" s="4"/>
      <c r="H44" s="4"/>
    </row>
    <row r="45" customFormat="false" ht="15" hidden="false" customHeight="false" outlineLevel="0" collapsed="false">
      <c r="A45" s="6" t="s">
        <v>80</v>
      </c>
      <c r="B45" s="4" t="n">
        <f aca="false">COUNTIFS(Backlog!$D$2:$D$58,A45)</f>
        <v>5</v>
      </c>
      <c r="C45" s="4" t="n">
        <f aca="false">SUMIFS(Backlog!$H$2:$H$58,Backlog!$D$2:$D$58,A45)</f>
        <v>9</v>
      </c>
      <c r="D45" s="4" t="n">
        <f aca="false">SUMIFS(Backlog!$I$2:$I$58,Backlog!$D$2:$D$58,A45)</f>
        <v>0.5</v>
      </c>
      <c r="E45" s="4"/>
      <c r="F45" s="4"/>
      <c r="G45" s="4"/>
      <c r="H45" s="4"/>
    </row>
    <row r="46" customFormat="false" ht="15" hidden="false" customHeight="false" outlineLevel="0" collapsed="false">
      <c r="A46" s="6" t="s">
        <v>81</v>
      </c>
      <c r="B46" s="4" t="n">
        <f aca="false">COUNTIFS(Backlog!$D$2:$D$58,A46)</f>
        <v>7</v>
      </c>
      <c r="C46" s="4" t="n">
        <f aca="false">SUMIFS(Backlog!$H$2:$H$58,Backlog!$D$2:$D$58,A46)</f>
        <v>15.5</v>
      </c>
      <c r="D46" s="4" t="n">
        <f aca="false">SUMIFS(Backlog!$I$2:$I$58,Backlog!$D$2:$D$58,A46)</f>
        <v>7.5</v>
      </c>
      <c r="E46" s="4"/>
      <c r="F46" s="4"/>
      <c r="G46" s="4"/>
      <c r="H46" s="4"/>
    </row>
    <row r="47" customFormat="false" ht="15" hidden="false" customHeight="false" outlineLevel="0" collapsed="false">
      <c r="A47" s="6" t="s">
        <v>82</v>
      </c>
      <c r="B47" s="4" t="n">
        <f aca="false">COUNTIFS(Backlog!$D$2:$D$58,A47)</f>
        <v>5</v>
      </c>
      <c r="C47" s="4" t="n">
        <f aca="false">SUMIFS(Backlog!$H$2:$H$58,Backlog!$D$2:$D$58,A47)</f>
        <v>12</v>
      </c>
      <c r="D47" s="4" t="n">
        <f aca="false">SUMIFS(Backlog!$I$2:$I$58,Backlog!$D$2:$D$58,A47)</f>
        <v>8</v>
      </c>
      <c r="E47" s="4"/>
      <c r="F47" s="4"/>
      <c r="G47" s="4"/>
      <c r="H47" s="4"/>
    </row>
    <row r="48" customFormat="false" ht="15" hidden="false" customHeight="false" outlineLevel="0" collapsed="false">
      <c r="A48" s="6" t="s">
        <v>83</v>
      </c>
      <c r="B48" s="4" t="n">
        <f aca="false">COUNTIFS(Backlog!$D$2:$D$58,A48)</f>
        <v>5</v>
      </c>
      <c r="C48" s="4" t="n">
        <f aca="false">SUMIFS(Backlog!$H$2:$H$58,Backlog!$D$2:$D$58,A48)</f>
        <v>8</v>
      </c>
      <c r="D48" s="4" t="n">
        <f aca="false">SUMIFS(Backlog!$I$2:$I$58,Backlog!$D$2:$D$58,A48)</f>
        <v>0</v>
      </c>
      <c r="E48" s="4"/>
      <c r="F48" s="4"/>
      <c r="G48" s="4"/>
      <c r="H48" s="4"/>
    </row>
    <row r="49" customFormat="false" ht="15" hidden="false" customHeight="false" outlineLevel="0" collapsed="false">
      <c r="A49" s="6" t="s">
        <v>84</v>
      </c>
      <c r="B49" s="4" t="n">
        <f aca="false">COUNTIFS(Backlog!$D$2:$D$58,A49)</f>
        <v>2</v>
      </c>
      <c r="C49" s="4" t="n">
        <f aca="false">SUMIFS(Backlog!$H$2:$H$58,Backlog!$D$2:$D$58,A49)</f>
        <v>4</v>
      </c>
      <c r="D49" s="4" t="n">
        <f aca="false">SUMIFS(Backlog!$I$2:$I$58,Backlog!$D$2:$D$58,A49)</f>
        <v>0</v>
      </c>
      <c r="E49" s="4"/>
      <c r="F49" s="4"/>
      <c r="G49" s="4"/>
      <c r="H49" s="4"/>
    </row>
    <row r="50" customFormat="false" ht="15" hidden="false" customHeight="false" outlineLevel="0" collapsed="false">
      <c r="A50" s="6" t="s">
        <v>85</v>
      </c>
      <c r="B50" s="4" t="n">
        <f aca="false">COUNTIFS(Backlog!$D$2:$D$58,A50)</f>
        <v>4</v>
      </c>
      <c r="C50" s="4" t="n">
        <f aca="false">SUMIFS(Backlog!$H$2:$H$58,Backlog!$D$2:$D$58,A50)</f>
        <v>5.5</v>
      </c>
      <c r="D50" s="4" t="n">
        <f aca="false">SUMIFS(Backlog!$I$2:$I$58,Backlog!$D$2:$D$58,A50)</f>
        <v>0</v>
      </c>
      <c r="E50" s="4"/>
      <c r="F50" s="4"/>
      <c r="G50" s="4"/>
      <c r="H50" s="4"/>
    </row>
    <row r="51" customFormat="false" ht="15" hidden="false" customHeight="false" outlineLevel="0" collapsed="false">
      <c r="A51" s="6" t="s">
        <v>86</v>
      </c>
      <c r="B51" s="4" t="n">
        <f aca="false">COUNTIFS(Backlog!$D$2:$D$58,A51)</f>
        <v>3</v>
      </c>
      <c r="C51" s="4" t="n">
        <f aca="false">SUMIFS(Backlog!$H$2:$H$58,Backlog!$D$2:$D$58,A51)</f>
        <v>7</v>
      </c>
      <c r="D51" s="4" t="n">
        <f aca="false">SUMIFS(Backlog!$I$2:$I$58,Backlog!$D$2:$D$58,A51)</f>
        <v>0</v>
      </c>
      <c r="E51" s="4"/>
      <c r="F51" s="4"/>
      <c r="G51" s="4"/>
      <c r="H51" s="4"/>
    </row>
    <row r="52" customFormat="false" ht="15" hidden="false" customHeight="false" outlineLevel="0" collapsed="false">
      <c r="A52" s="6" t="s">
        <v>87</v>
      </c>
      <c r="B52" s="4" t="n">
        <f aca="false">COUNTIFS(Backlog!$D$2:$D$58,A52)</f>
        <v>2</v>
      </c>
      <c r="C52" s="4" t="n">
        <f aca="false">SUMIFS(Backlog!$H$2:$H$58,Backlog!$D$2:$D$58,A52)</f>
        <v>2.5</v>
      </c>
      <c r="D52" s="4" t="n">
        <f aca="false">SUMIFS(Backlog!$I$2:$I$58,Backlog!$D$2:$D$58,A52)</f>
        <v>0</v>
      </c>
      <c r="E52" s="4"/>
      <c r="F52" s="4"/>
      <c r="G52" s="4"/>
      <c r="H52" s="4"/>
    </row>
    <row r="53" customFormat="false" ht="15" hidden="false" customHeight="false" outlineLevel="0" collapsed="false">
      <c r="A53" s="6" t="s">
        <v>88</v>
      </c>
      <c r="B53" s="4" t="n">
        <f aca="false">COUNTIFS(Backlog!$D$2:$D$58,A53)</f>
        <v>3</v>
      </c>
      <c r="C53" s="4" t="n">
        <f aca="false">SUMIFS(Backlog!$H$2:$H$58,Backlog!$D$2:$D$58,A53)</f>
        <v>6</v>
      </c>
      <c r="D53" s="4" t="n">
        <f aca="false">SUMIFS(Backlog!$I$2:$I$58,Backlog!$D$2:$D$58,A53)</f>
        <v>0</v>
      </c>
      <c r="E53" s="4"/>
      <c r="F53" s="4"/>
      <c r="G53" s="4"/>
      <c r="H53" s="4"/>
    </row>
    <row r="54" customFormat="false" ht="15" hidden="false" customHeight="false" outlineLevel="0" collapsed="false">
      <c r="A54" s="6" t="s">
        <v>89</v>
      </c>
      <c r="B54" s="4" t="n">
        <f aca="false">COUNTIFS(Backlog!$D$2:$D$58,A54)</f>
        <v>2</v>
      </c>
      <c r="C54" s="4" t="n">
        <f aca="false">SUMIFS(Backlog!$H$2:$H$58,Backlog!$D$2:$D$58,A54)</f>
        <v>3</v>
      </c>
      <c r="D54" s="4" t="n">
        <f aca="false">SUMIFS(Backlog!$I$2:$I$58,Backlog!$D$2:$D$58,A54)</f>
        <v>0</v>
      </c>
      <c r="E54" s="4"/>
      <c r="F54" s="4"/>
      <c r="G54" s="4"/>
      <c r="H54" s="4"/>
    </row>
    <row r="55" customFormat="false" ht="15" hidden="false" customHeight="false" outlineLevel="0" collapsed="false">
      <c r="A55" s="6" t="s">
        <v>90</v>
      </c>
      <c r="B55" s="4" t="n">
        <f aca="false">COUNTIFS(Backlog!$D$2:$D$58,A55)</f>
        <v>8</v>
      </c>
      <c r="C55" s="4" t="n">
        <f aca="false">SUMIFS(Backlog!$H$2:$H$58,Backlog!$D$2:$D$58,A55)</f>
        <v>0</v>
      </c>
      <c r="D55" s="4" t="n">
        <f aca="false">SUMIFS(Backlog!$I$2:$I$58,Backlog!$D$2:$D$58,A55)</f>
        <v>0</v>
      </c>
      <c r="E55" s="4"/>
      <c r="F55" s="4"/>
      <c r="G55" s="4"/>
      <c r="H55" s="4"/>
    </row>
    <row r="56" customFormat="false" ht="15" hidden="false" customHeight="false" outlineLevel="0" collapsed="false">
      <c r="A56" s="4"/>
      <c r="B56" s="4"/>
      <c r="C56" s="4"/>
      <c r="D56" s="4"/>
      <c r="E56" s="4"/>
      <c r="F56" s="4"/>
      <c r="G56" s="4"/>
      <c r="H56" s="4"/>
    </row>
    <row r="57" customFormat="false" ht="15" hidden="false" customHeight="false" outlineLevel="0" collapsed="false">
      <c r="A57" s="1" t="s">
        <v>91</v>
      </c>
      <c r="B57" s="4"/>
      <c r="C57" s="4"/>
      <c r="D57" s="4"/>
      <c r="E57" s="4"/>
      <c r="F57" s="4"/>
      <c r="G57" s="4"/>
      <c r="H57" s="4"/>
    </row>
    <row r="58" customFormat="false" ht="15" hidden="false" customHeight="false" outlineLevel="0" collapsed="false">
      <c r="A58" s="5" t="s">
        <v>21</v>
      </c>
      <c r="B58" s="5" t="s">
        <v>42</v>
      </c>
      <c r="C58" s="5" t="s">
        <v>43</v>
      </c>
      <c r="D58" s="5" t="s">
        <v>92</v>
      </c>
      <c r="E58" s="4"/>
      <c r="F58" s="4"/>
      <c r="G58" s="4"/>
      <c r="H58" s="4"/>
    </row>
    <row r="59" customFormat="false" ht="15" hidden="false" customHeight="false" outlineLevel="0" collapsed="false">
      <c r="A59" s="6" t="s">
        <v>93</v>
      </c>
      <c r="B59" s="4" t="n">
        <f aca="false">COUNTIFS(Backlog!$O$2:$O$58,A59)</f>
        <v>49</v>
      </c>
      <c r="C59" s="4" t="n">
        <f aca="false">SUMIFS(Backlog!$H$2:$H$58,Backlog!$O$2:$O$58,A59)</f>
        <v>97.5</v>
      </c>
      <c r="D59" s="4" t="n">
        <f aca="false">COUNTIFS(Backlog!$O$2:$O$58,A59,Backlog!$C$2:$C$58,"P0")</f>
        <v>47</v>
      </c>
      <c r="E59" s="4"/>
      <c r="F59" s="4"/>
      <c r="G59" s="4"/>
      <c r="H59" s="4"/>
    </row>
    <row r="60" customFormat="false" ht="15" hidden="false" customHeight="false" outlineLevel="0" collapsed="false">
      <c r="A60" s="6" t="s">
        <v>94</v>
      </c>
      <c r="B60" s="4" t="n">
        <f aca="false">COUNTIFS(Backlog!$O$2:$O$58,A60)</f>
        <v>0</v>
      </c>
      <c r="C60" s="4" t="n">
        <f aca="false">SUMIFS(Backlog!$H$2:$H$58,Backlog!$O$2:$O$58,A60)</f>
        <v>0</v>
      </c>
      <c r="D60" s="4" t="n">
        <f aca="false">COUNTIFS(Backlog!$O$2:$O$58,A60,Backlog!$C$2:$C$58,"P0")</f>
        <v>0</v>
      </c>
      <c r="E60" s="4"/>
      <c r="F60" s="4"/>
      <c r="G60" s="4"/>
      <c r="H60" s="4"/>
    </row>
    <row r="61" customFormat="false" ht="15" hidden="false" customHeight="false" outlineLevel="0" collapsed="false">
      <c r="A61" s="6" t="s">
        <v>95</v>
      </c>
      <c r="B61" s="4" t="n">
        <f aca="false">COUNTIFS(Backlog!$O$2:$O$58,A61)</f>
        <v>0</v>
      </c>
      <c r="C61" s="4" t="n">
        <f aca="false">SUMIFS(Backlog!$H$2:$H$58,Backlog!$O$2:$O$58,A61)</f>
        <v>0</v>
      </c>
      <c r="D61" s="4" t="n">
        <f aca="false">COUNTIFS(Backlog!$O$2:$O$58,A61,Backlog!$C$2:$C$58,"P0")</f>
        <v>0</v>
      </c>
      <c r="E61" s="4"/>
      <c r="F61" s="4"/>
      <c r="G61" s="4"/>
      <c r="H61" s="4"/>
    </row>
    <row r="62" customFormat="false" ht="15" hidden="false" customHeight="false" outlineLevel="0" collapsed="false">
      <c r="A62" s="6" t="s">
        <v>96</v>
      </c>
      <c r="B62" s="4" t="n">
        <f aca="false">COUNTIFS(Backlog!$O$2:$O$58,A62)</f>
        <v>0</v>
      </c>
      <c r="C62" s="4" t="n">
        <f aca="false">SUMIFS(Backlog!$H$2:$H$58,Backlog!$O$2:$O$58,A62)</f>
        <v>0</v>
      </c>
      <c r="D62" s="4" t="n">
        <f aca="false">COUNTIFS(Backlog!$O$2:$O$58,A62,Backlog!$C$2:$C$58,"P0")</f>
        <v>0</v>
      </c>
      <c r="E62" s="4"/>
      <c r="F62" s="4"/>
      <c r="G62" s="4"/>
      <c r="H62" s="4"/>
    </row>
    <row r="63" customFormat="false" ht="15" hidden="false" customHeight="false" outlineLevel="0" collapsed="false">
      <c r="A63" s="6" t="s">
        <v>97</v>
      </c>
      <c r="B63" s="4"/>
      <c r="C63" s="13" t="n">
        <f aca="false">IF(SUM(C59:C62)=0,0,C61/SUM(C59:C62))</f>
        <v>0</v>
      </c>
      <c r="D63" s="4"/>
      <c r="E63" s="4"/>
      <c r="F63" s="4"/>
      <c r="G63" s="4"/>
      <c r="H6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4"/>
    <col collapsed="false" customWidth="true" hidden="false" outlineLevel="0" max="5" min="5" style="0" width="30"/>
    <col collapsed="false" customWidth="true" hidden="false" outlineLevel="0" max="6" min="6" style="0" width="62"/>
    <col collapsed="false" customWidth="true" hidden="false" outlineLevel="0" max="7" min="7" style="0" width="42"/>
    <col collapsed="false" customWidth="true" hidden="false" outlineLevel="0" max="8" min="8" style="0" width="8"/>
    <col collapsed="false" customWidth="true" hidden="false" outlineLevel="0" max="9" min="9" style="0" width="9"/>
    <col collapsed="false" customWidth="true" hidden="false" outlineLevel="0" max="10" min="10" style="0" width="22"/>
    <col collapsed="false" customWidth="true" hidden="false" outlineLevel="0" max="11" min="11" style="0" width="10"/>
    <col collapsed="false" customWidth="true" hidden="false" outlineLevel="0" max="12" min="12" style="0" width="14"/>
    <col collapsed="false" customWidth="true" hidden="false" outlineLevel="0" max="13" min="13" style="0" width="16"/>
    <col collapsed="false" customWidth="true" hidden="false" outlineLevel="0" max="14" min="14" style="0" width="32"/>
    <col collapsed="false" customWidth="true" hidden="false" outlineLevel="0" max="15" min="15" style="0" width="13"/>
    <col collapsed="false" customWidth="true" hidden="false" outlineLevel="0" max="16" min="16" style="0" width="16"/>
  </cols>
  <sheetData>
    <row r="1" customFormat="false" ht="35.05" hidden="false" customHeight="false" outlineLevel="0" collapsed="false">
      <c r="A1" s="5" t="s">
        <v>98</v>
      </c>
      <c r="B1" s="5" t="s">
        <v>99</v>
      </c>
      <c r="C1" s="5" t="s">
        <v>70</v>
      </c>
      <c r="D1" s="5" t="s">
        <v>76</v>
      </c>
      <c r="E1" s="5" t="s">
        <v>100</v>
      </c>
      <c r="F1" s="5" t="s">
        <v>101</v>
      </c>
      <c r="G1" s="5" t="s">
        <v>102</v>
      </c>
      <c r="H1" s="5" t="s">
        <v>43</v>
      </c>
      <c r="I1" s="5" t="s">
        <v>44</v>
      </c>
      <c r="J1" s="5" t="s">
        <v>9</v>
      </c>
      <c r="K1" s="5" t="s">
        <v>103</v>
      </c>
      <c r="L1" s="5" t="s">
        <v>104</v>
      </c>
      <c r="M1" s="5" t="s">
        <v>105</v>
      </c>
      <c r="N1" s="5" t="s">
        <v>106</v>
      </c>
      <c r="O1" s="5" t="s">
        <v>21</v>
      </c>
      <c r="P1" s="5" t="s">
        <v>107</v>
      </c>
    </row>
    <row r="2" customFormat="false" ht="46.25" hidden="false" customHeight="false" outlineLevel="0" collapsed="false">
      <c r="A2" s="14" t="s">
        <v>108</v>
      </c>
      <c r="B2" s="3" t="s">
        <v>109</v>
      </c>
      <c r="C2" s="3" t="s">
        <v>71</v>
      </c>
      <c r="D2" s="3" t="s">
        <v>77</v>
      </c>
      <c r="E2" s="3" t="s">
        <v>110</v>
      </c>
      <c r="F2" s="3" t="s">
        <v>111</v>
      </c>
      <c r="G2" s="3" t="s">
        <v>112</v>
      </c>
      <c r="H2" s="15" t="n">
        <v>4</v>
      </c>
      <c r="I2" s="15" t="n">
        <v>0</v>
      </c>
      <c r="J2" s="3" t="s">
        <v>49</v>
      </c>
      <c r="K2" s="3" t="s">
        <v>113</v>
      </c>
      <c r="L2" s="3" t="s">
        <v>114</v>
      </c>
      <c r="M2" s="3" t="s">
        <v>74</v>
      </c>
      <c r="N2" s="3" t="s">
        <v>115</v>
      </c>
      <c r="O2" s="3" t="s">
        <v>93</v>
      </c>
      <c r="P2" s="16"/>
    </row>
    <row r="3" customFormat="false" ht="35.05" hidden="false" customHeight="false" outlineLevel="0" collapsed="false">
      <c r="A3" s="14" t="s">
        <v>116</v>
      </c>
      <c r="B3" s="3" t="s">
        <v>117</v>
      </c>
      <c r="C3" s="3" t="s">
        <v>71</v>
      </c>
      <c r="D3" s="3" t="s">
        <v>77</v>
      </c>
      <c r="E3" s="3" t="s">
        <v>118</v>
      </c>
      <c r="F3" s="3" t="s">
        <v>119</v>
      </c>
      <c r="G3" s="3" t="s">
        <v>120</v>
      </c>
      <c r="H3" s="15" t="n">
        <v>3</v>
      </c>
      <c r="I3" s="15" t="n">
        <v>0</v>
      </c>
      <c r="J3" s="3" t="s">
        <v>49</v>
      </c>
      <c r="K3" s="3" t="s">
        <v>121</v>
      </c>
      <c r="L3" s="3" t="s">
        <v>122</v>
      </c>
      <c r="M3" s="3" t="s">
        <v>108</v>
      </c>
      <c r="N3" s="3" t="s">
        <v>123</v>
      </c>
      <c r="O3" s="3" t="s">
        <v>93</v>
      </c>
      <c r="P3" s="16"/>
    </row>
    <row r="4" customFormat="false" ht="35.05" hidden="false" customHeight="false" outlineLevel="0" collapsed="false">
      <c r="A4" s="14" t="s">
        <v>124</v>
      </c>
      <c r="B4" s="3" t="s">
        <v>125</v>
      </c>
      <c r="C4" s="3" t="s">
        <v>71</v>
      </c>
      <c r="D4" s="3" t="s">
        <v>78</v>
      </c>
      <c r="E4" s="3" t="s">
        <v>126</v>
      </c>
      <c r="F4" s="3" t="s">
        <v>127</v>
      </c>
      <c r="G4" s="3" t="s">
        <v>128</v>
      </c>
      <c r="H4" s="15" t="n">
        <v>1.5</v>
      </c>
      <c r="I4" s="15" t="n">
        <v>0</v>
      </c>
      <c r="J4" s="3" t="s">
        <v>49</v>
      </c>
      <c r="K4" s="3" t="s">
        <v>129</v>
      </c>
      <c r="L4" s="3" t="s">
        <v>130</v>
      </c>
      <c r="M4" s="3" t="s">
        <v>108</v>
      </c>
      <c r="N4" s="3" t="s">
        <v>131</v>
      </c>
      <c r="O4" s="3" t="s">
        <v>93</v>
      </c>
      <c r="P4" s="16"/>
    </row>
    <row r="5" customFormat="false" ht="57.45" hidden="false" customHeight="false" outlineLevel="0" collapsed="false">
      <c r="A5" s="14" t="s">
        <v>132</v>
      </c>
      <c r="B5" s="3" t="s">
        <v>133</v>
      </c>
      <c r="C5" s="3" t="s">
        <v>71</v>
      </c>
      <c r="D5" s="3" t="s">
        <v>79</v>
      </c>
      <c r="E5" s="3" t="s">
        <v>134</v>
      </c>
      <c r="F5" s="3" t="s">
        <v>135</v>
      </c>
      <c r="G5" s="3" t="s">
        <v>136</v>
      </c>
      <c r="H5" s="15" t="n">
        <v>3</v>
      </c>
      <c r="I5" s="15" t="n">
        <v>0</v>
      </c>
      <c r="J5" s="3" t="s">
        <v>49</v>
      </c>
      <c r="K5" s="3" t="s">
        <v>121</v>
      </c>
      <c r="L5" s="3" t="s">
        <v>130</v>
      </c>
      <c r="M5" s="3" t="s">
        <v>108</v>
      </c>
      <c r="N5" s="3" t="s">
        <v>137</v>
      </c>
      <c r="O5" s="3" t="s">
        <v>93</v>
      </c>
      <c r="P5" s="16"/>
    </row>
    <row r="6" customFormat="false" ht="23.85" hidden="false" customHeight="false" outlineLevel="0" collapsed="false">
      <c r="A6" s="14" t="s">
        <v>138</v>
      </c>
      <c r="B6" s="3" t="s">
        <v>139</v>
      </c>
      <c r="C6" s="3" t="s">
        <v>71</v>
      </c>
      <c r="D6" s="3" t="s">
        <v>79</v>
      </c>
      <c r="E6" s="3" t="s">
        <v>140</v>
      </c>
      <c r="F6" s="3" t="s">
        <v>141</v>
      </c>
      <c r="G6" s="3" t="s">
        <v>142</v>
      </c>
      <c r="H6" s="15" t="n">
        <v>2</v>
      </c>
      <c r="I6" s="15" t="n">
        <v>0</v>
      </c>
      <c r="J6" s="3" t="s">
        <v>49</v>
      </c>
      <c r="K6" s="3" t="s">
        <v>129</v>
      </c>
      <c r="L6" s="3" t="s">
        <v>122</v>
      </c>
      <c r="M6" s="3" t="s">
        <v>143</v>
      </c>
      <c r="N6" s="3" t="s">
        <v>144</v>
      </c>
      <c r="O6" s="3" t="s">
        <v>93</v>
      </c>
      <c r="P6" s="16"/>
    </row>
    <row r="7" customFormat="false" ht="35.05" hidden="false" customHeight="false" outlineLevel="0" collapsed="false">
      <c r="A7" s="14" t="s">
        <v>145</v>
      </c>
      <c r="B7" s="3" t="s">
        <v>146</v>
      </c>
      <c r="C7" s="3" t="s">
        <v>71</v>
      </c>
      <c r="D7" s="3" t="s">
        <v>79</v>
      </c>
      <c r="E7" s="3" t="s">
        <v>147</v>
      </c>
      <c r="F7" s="3" t="s">
        <v>148</v>
      </c>
      <c r="G7" s="3" t="s">
        <v>149</v>
      </c>
      <c r="H7" s="15" t="n">
        <v>2</v>
      </c>
      <c r="I7" s="15" t="n">
        <v>0</v>
      </c>
      <c r="J7" s="3" t="s">
        <v>49</v>
      </c>
      <c r="K7" s="3" t="s">
        <v>150</v>
      </c>
      <c r="L7" s="3" t="s">
        <v>122</v>
      </c>
      <c r="M7" s="3" t="s">
        <v>116</v>
      </c>
      <c r="N7" s="3" t="s">
        <v>151</v>
      </c>
      <c r="O7" s="3" t="s">
        <v>93</v>
      </c>
      <c r="P7" s="16"/>
    </row>
    <row r="8" customFormat="false" ht="46.25" hidden="false" customHeight="false" outlineLevel="0" collapsed="false">
      <c r="A8" s="14" t="s">
        <v>152</v>
      </c>
      <c r="B8" s="3" t="s">
        <v>153</v>
      </c>
      <c r="C8" s="3" t="s">
        <v>71</v>
      </c>
      <c r="D8" s="3" t="s">
        <v>80</v>
      </c>
      <c r="E8" s="3" t="s">
        <v>154</v>
      </c>
      <c r="F8" s="3" t="s">
        <v>155</v>
      </c>
      <c r="G8" s="3" t="s">
        <v>156</v>
      </c>
      <c r="H8" s="15" t="n">
        <v>2.5</v>
      </c>
      <c r="I8" s="15" t="n">
        <v>0</v>
      </c>
      <c r="J8" s="3" t="s">
        <v>49</v>
      </c>
      <c r="K8" s="3" t="s">
        <v>129</v>
      </c>
      <c r="L8" s="3" t="s">
        <v>130</v>
      </c>
      <c r="M8" s="3" t="s">
        <v>132</v>
      </c>
      <c r="N8" s="3" t="s">
        <v>157</v>
      </c>
      <c r="O8" s="3" t="s">
        <v>93</v>
      </c>
      <c r="P8" s="16"/>
    </row>
    <row r="9" customFormat="false" ht="23.85" hidden="false" customHeight="false" outlineLevel="0" collapsed="false">
      <c r="A9" s="14" t="s">
        <v>158</v>
      </c>
      <c r="B9" s="3" t="s">
        <v>153</v>
      </c>
      <c r="C9" s="3" t="s">
        <v>71</v>
      </c>
      <c r="D9" s="3" t="s">
        <v>80</v>
      </c>
      <c r="E9" s="3" t="s">
        <v>159</v>
      </c>
      <c r="F9" s="3" t="s">
        <v>160</v>
      </c>
      <c r="G9" s="3" t="s">
        <v>161</v>
      </c>
      <c r="H9" s="15" t="n">
        <v>1.5</v>
      </c>
      <c r="I9" s="15" t="n">
        <v>0</v>
      </c>
      <c r="J9" s="3" t="s">
        <v>49</v>
      </c>
      <c r="K9" s="3" t="s">
        <v>129</v>
      </c>
      <c r="L9" s="3" t="s">
        <v>130</v>
      </c>
      <c r="M9" s="3" t="s">
        <v>132</v>
      </c>
      <c r="N9" s="3" t="s">
        <v>162</v>
      </c>
      <c r="O9" s="3" t="s">
        <v>93</v>
      </c>
      <c r="P9" s="16"/>
    </row>
    <row r="10" customFormat="false" ht="23.85" hidden="false" customHeight="false" outlineLevel="0" collapsed="false">
      <c r="A10" s="14" t="s">
        <v>163</v>
      </c>
      <c r="B10" s="3" t="s">
        <v>164</v>
      </c>
      <c r="C10" s="3" t="s">
        <v>71</v>
      </c>
      <c r="D10" s="3" t="s">
        <v>80</v>
      </c>
      <c r="E10" s="3" t="s">
        <v>165</v>
      </c>
      <c r="F10" s="3" t="s">
        <v>166</v>
      </c>
      <c r="G10" s="3" t="s">
        <v>167</v>
      </c>
      <c r="H10" s="15" t="n">
        <v>1</v>
      </c>
      <c r="I10" s="15" t="n">
        <v>0</v>
      </c>
      <c r="J10" s="3" t="s">
        <v>49</v>
      </c>
      <c r="K10" s="3" t="s">
        <v>129</v>
      </c>
      <c r="L10" s="3" t="s">
        <v>130</v>
      </c>
      <c r="M10" s="3" t="s">
        <v>152</v>
      </c>
      <c r="N10" s="3" t="s">
        <v>168</v>
      </c>
      <c r="O10" s="3" t="s">
        <v>93</v>
      </c>
      <c r="P10" s="16"/>
    </row>
    <row r="11" customFormat="false" ht="35.05" hidden="false" customHeight="false" outlineLevel="0" collapsed="false">
      <c r="A11" s="14" t="s">
        <v>169</v>
      </c>
      <c r="B11" s="3" t="s">
        <v>170</v>
      </c>
      <c r="C11" s="3" t="s">
        <v>71</v>
      </c>
      <c r="D11" s="3" t="s">
        <v>80</v>
      </c>
      <c r="E11" s="3" t="s">
        <v>171</v>
      </c>
      <c r="F11" s="3" t="s">
        <v>172</v>
      </c>
      <c r="G11" s="3" t="s">
        <v>173</v>
      </c>
      <c r="H11" s="15" t="n">
        <v>2</v>
      </c>
      <c r="I11" s="15" t="n">
        <v>0.5</v>
      </c>
      <c r="J11" s="3" t="s">
        <v>49</v>
      </c>
      <c r="K11" s="3" t="s">
        <v>129</v>
      </c>
      <c r="L11" s="3" t="s">
        <v>130</v>
      </c>
      <c r="M11" s="3" t="s">
        <v>174</v>
      </c>
      <c r="N11" s="3" t="s">
        <v>175</v>
      </c>
      <c r="O11" s="3" t="s">
        <v>93</v>
      </c>
      <c r="P11" s="16"/>
    </row>
    <row r="12" customFormat="false" ht="35.05" hidden="false" customHeight="false" outlineLevel="0" collapsed="false">
      <c r="A12" s="14" t="s">
        <v>176</v>
      </c>
      <c r="B12" s="3" t="s">
        <v>177</v>
      </c>
      <c r="C12" s="3" t="s">
        <v>71</v>
      </c>
      <c r="D12" s="3" t="s">
        <v>80</v>
      </c>
      <c r="E12" s="3" t="s">
        <v>178</v>
      </c>
      <c r="F12" s="3" t="s">
        <v>179</v>
      </c>
      <c r="G12" s="3" t="s">
        <v>180</v>
      </c>
      <c r="H12" s="15" t="n">
        <v>2</v>
      </c>
      <c r="I12" s="15" t="n">
        <v>0</v>
      </c>
      <c r="J12" s="3" t="s">
        <v>49</v>
      </c>
      <c r="K12" s="3" t="s">
        <v>129</v>
      </c>
      <c r="L12" s="3" t="s">
        <v>130</v>
      </c>
      <c r="M12" s="3" t="s">
        <v>169</v>
      </c>
      <c r="N12" s="3" t="s">
        <v>181</v>
      </c>
      <c r="O12" s="3" t="s">
        <v>93</v>
      </c>
      <c r="P12" s="16"/>
    </row>
    <row r="13" customFormat="false" ht="23.85" hidden="false" customHeight="false" outlineLevel="0" collapsed="false">
      <c r="A13" s="14" t="s">
        <v>174</v>
      </c>
      <c r="B13" s="3" t="s">
        <v>182</v>
      </c>
      <c r="C13" s="3" t="s">
        <v>71</v>
      </c>
      <c r="D13" s="3" t="s">
        <v>81</v>
      </c>
      <c r="E13" s="3" t="s">
        <v>183</v>
      </c>
      <c r="F13" s="3" t="s">
        <v>184</v>
      </c>
      <c r="G13" s="3" t="s">
        <v>185</v>
      </c>
      <c r="H13" s="15" t="n">
        <v>0</v>
      </c>
      <c r="I13" s="15" t="n">
        <v>1</v>
      </c>
      <c r="J13" s="3" t="s">
        <v>49</v>
      </c>
      <c r="K13" s="3" t="s">
        <v>113</v>
      </c>
      <c r="L13" s="3" t="s">
        <v>186</v>
      </c>
      <c r="M13" s="3" t="s">
        <v>74</v>
      </c>
      <c r="N13" s="3" t="s">
        <v>187</v>
      </c>
      <c r="O13" s="3" t="s">
        <v>93</v>
      </c>
      <c r="P13" s="16"/>
    </row>
    <row r="14" customFormat="false" ht="35.05" hidden="false" customHeight="false" outlineLevel="0" collapsed="false">
      <c r="A14" s="14" t="s">
        <v>188</v>
      </c>
      <c r="B14" s="3" t="s">
        <v>189</v>
      </c>
      <c r="C14" s="3" t="s">
        <v>71</v>
      </c>
      <c r="D14" s="3" t="s">
        <v>82</v>
      </c>
      <c r="E14" s="3" t="s">
        <v>190</v>
      </c>
      <c r="F14" s="3" t="s">
        <v>191</v>
      </c>
      <c r="G14" s="3" t="s">
        <v>192</v>
      </c>
      <c r="H14" s="15" t="n">
        <v>0</v>
      </c>
      <c r="I14" s="15" t="n">
        <v>5</v>
      </c>
      <c r="J14" s="3" t="s">
        <v>49</v>
      </c>
      <c r="K14" s="3" t="s">
        <v>193</v>
      </c>
      <c r="L14" s="3" t="s">
        <v>194</v>
      </c>
      <c r="M14" s="3" t="s">
        <v>174</v>
      </c>
      <c r="N14" s="3" t="s">
        <v>195</v>
      </c>
      <c r="O14" s="3" t="s">
        <v>93</v>
      </c>
      <c r="P14" s="16"/>
    </row>
    <row r="15" customFormat="false" ht="57.45" hidden="false" customHeight="false" outlineLevel="0" collapsed="false">
      <c r="A15" s="14" t="s">
        <v>196</v>
      </c>
      <c r="B15" s="3" t="s">
        <v>197</v>
      </c>
      <c r="C15" s="3" t="s">
        <v>71</v>
      </c>
      <c r="D15" s="3" t="s">
        <v>81</v>
      </c>
      <c r="E15" s="3" t="s">
        <v>198</v>
      </c>
      <c r="F15" s="3" t="s">
        <v>199</v>
      </c>
      <c r="G15" s="3" t="s">
        <v>200</v>
      </c>
      <c r="H15" s="15" t="n">
        <v>1.5</v>
      </c>
      <c r="I15" s="15" t="n">
        <v>2</v>
      </c>
      <c r="J15" s="3" t="s">
        <v>50</v>
      </c>
      <c r="K15" s="3" t="s">
        <v>201</v>
      </c>
      <c r="L15" s="3" t="s">
        <v>202</v>
      </c>
      <c r="M15" s="3" t="s">
        <v>203</v>
      </c>
      <c r="N15" s="3" t="s">
        <v>204</v>
      </c>
      <c r="O15" s="3" t="s">
        <v>93</v>
      </c>
      <c r="P15" s="16"/>
    </row>
    <row r="16" customFormat="false" ht="23.85" hidden="false" customHeight="false" outlineLevel="0" collapsed="false">
      <c r="A16" s="14" t="s">
        <v>205</v>
      </c>
      <c r="B16" s="3" t="s">
        <v>206</v>
      </c>
      <c r="C16" s="3" t="s">
        <v>71</v>
      </c>
      <c r="D16" s="3" t="s">
        <v>81</v>
      </c>
      <c r="E16" s="3" t="s">
        <v>207</v>
      </c>
      <c r="F16" s="3" t="s">
        <v>208</v>
      </c>
      <c r="G16" s="3" t="s">
        <v>209</v>
      </c>
      <c r="H16" s="15" t="n">
        <v>0.5</v>
      </c>
      <c r="I16" s="15" t="n">
        <v>0</v>
      </c>
      <c r="J16" s="3" t="s">
        <v>50</v>
      </c>
      <c r="K16" s="3" t="s">
        <v>210</v>
      </c>
      <c r="L16" s="3" t="s">
        <v>114</v>
      </c>
      <c r="M16" s="3" t="s">
        <v>108</v>
      </c>
      <c r="N16" s="3" t="s">
        <v>211</v>
      </c>
      <c r="O16" s="3" t="s">
        <v>93</v>
      </c>
      <c r="P16" s="16"/>
    </row>
    <row r="17" customFormat="false" ht="23.85" hidden="false" customHeight="false" outlineLevel="0" collapsed="false">
      <c r="A17" s="14" t="s">
        <v>212</v>
      </c>
      <c r="B17" s="3" t="s">
        <v>213</v>
      </c>
      <c r="C17" s="3" t="s">
        <v>71</v>
      </c>
      <c r="D17" s="3" t="s">
        <v>83</v>
      </c>
      <c r="E17" s="3" t="s">
        <v>214</v>
      </c>
      <c r="F17" s="3" t="s">
        <v>215</v>
      </c>
      <c r="G17" s="3" t="s">
        <v>216</v>
      </c>
      <c r="H17" s="15" t="n">
        <v>1</v>
      </c>
      <c r="I17" s="15" t="n">
        <v>0</v>
      </c>
      <c r="J17" s="3" t="s">
        <v>50</v>
      </c>
      <c r="K17" s="3" t="s">
        <v>210</v>
      </c>
      <c r="L17" s="3" t="s">
        <v>114</v>
      </c>
      <c r="M17" s="3" t="s">
        <v>132</v>
      </c>
      <c r="N17" s="3" t="s">
        <v>217</v>
      </c>
      <c r="O17" s="3" t="s">
        <v>93</v>
      </c>
      <c r="P17" s="16"/>
    </row>
    <row r="18" customFormat="false" ht="57.45" hidden="false" customHeight="false" outlineLevel="0" collapsed="false">
      <c r="A18" s="14" t="s">
        <v>218</v>
      </c>
      <c r="B18" s="3" t="s">
        <v>197</v>
      </c>
      <c r="C18" s="3" t="s">
        <v>71</v>
      </c>
      <c r="D18" s="3" t="s">
        <v>81</v>
      </c>
      <c r="E18" s="3" t="s">
        <v>219</v>
      </c>
      <c r="F18" s="3" t="s">
        <v>220</v>
      </c>
      <c r="G18" s="3" t="s">
        <v>221</v>
      </c>
      <c r="H18" s="15" t="n">
        <v>4</v>
      </c>
      <c r="I18" s="15" t="n">
        <v>0</v>
      </c>
      <c r="J18" s="3" t="s">
        <v>50</v>
      </c>
      <c r="K18" s="3" t="s">
        <v>222</v>
      </c>
      <c r="L18" s="3" t="s">
        <v>130</v>
      </c>
      <c r="M18" s="3" t="s">
        <v>223</v>
      </c>
      <c r="N18" s="3" t="s">
        <v>224</v>
      </c>
      <c r="O18" s="3" t="s">
        <v>93</v>
      </c>
      <c r="P18" s="16"/>
    </row>
    <row r="19" customFormat="false" ht="57.45" hidden="false" customHeight="false" outlineLevel="0" collapsed="false">
      <c r="A19" s="14" t="s">
        <v>225</v>
      </c>
      <c r="B19" s="3" t="s">
        <v>226</v>
      </c>
      <c r="C19" s="3" t="s">
        <v>71</v>
      </c>
      <c r="D19" s="3" t="s">
        <v>81</v>
      </c>
      <c r="E19" s="3" t="s">
        <v>227</v>
      </c>
      <c r="F19" s="3" t="s">
        <v>228</v>
      </c>
      <c r="G19" s="3" t="s">
        <v>229</v>
      </c>
      <c r="H19" s="15" t="n">
        <v>4</v>
      </c>
      <c r="I19" s="15" t="n">
        <v>3</v>
      </c>
      <c r="J19" s="3" t="s">
        <v>50</v>
      </c>
      <c r="K19" s="3" t="s">
        <v>230</v>
      </c>
      <c r="L19" s="3" t="s">
        <v>231</v>
      </c>
      <c r="M19" s="3" t="s">
        <v>232</v>
      </c>
      <c r="N19" s="3" t="s">
        <v>233</v>
      </c>
      <c r="O19" s="3" t="s">
        <v>93</v>
      </c>
      <c r="P19" s="16"/>
    </row>
    <row r="20" customFormat="false" ht="35.05" hidden="false" customHeight="false" outlineLevel="0" collapsed="false">
      <c r="A20" s="14" t="s">
        <v>234</v>
      </c>
      <c r="B20" s="3" t="s">
        <v>235</v>
      </c>
      <c r="C20" s="3" t="s">
        <v>71</v>
      </c>
      <c r="D20" s="3" t="s">
        <v>78</v>
      </c>
      <c r="E20" s="3" t="s">
        <v>236</v>
      </c>
      <c r="F20" s="3" t="s">
        <v>237</v>
      </c>
      <c r="G20" s="3" t="s">
        <v>238</v>
      </c>
      <c r="H20" s="15" t="n">
        <v>1</v>
      </c>
      <c r="I20" s="15" t="n">
        <v>0</v>
      </c>
      <c r="J20" s="3" t="s">
        <v>51</v>
      </c>
      <c r="K20" s="3" t="s">
        <v>239</v>
      </c>
      <c r="L20" s="3" t="s">
        <v>114</v>
      </c>
      <c r="M20" s="3" t="s">
        <v>152</v>
      </c>
      <c r="N20" s="3" t="s">
        <v>240</v>
      </c>
      <c r="O20" s="3" t="s">
        <v>93</v>
      </c>
      <c r="P20" s="16"/>
    </row>
    <row r="21" customFormat="false" ht="23.85" hidden="false" customHeight="false" outlineLevel="0" collapsed="false">
      <c r="A21" s="14" t="s">
        <v>241</v>
      </c>
      <c r="B21" s="3" t="s">
        <v>242</v>
      </c>
      <c r="C21" s="3" t="s">
        <v>71</v>
      </c>
      <c r="D21" s="3" t="s">
        <v>78</v>
      </c>
      <c r="E21" s="3" t="s">
        <v>243</v>
      </c>
      <c r="F21" s="3" t="s">
        <v>244</v>
      </c>
      <c r="G21" s="3" t="s">
        <v>245</v>
      </c>
      <c r="H21" s="15" t="n">
        <v>2</v>
      </c>
      <c r="I21" s="15" t="n">
        <v>0</v>
      </c>
      <c r="J21" s="3" t="s">
        <v>51</v>
      </c>
      <c r="K21" s="3" t="s">
        <v>239</v>
      </c>
      <c r="L21" s="3" t="s">
        <v>130</v>
      </c>
      <c r="M21" s="3" t="s">
        <v>234</v>
      </c>
      <c r="N21" s="3" t="s">
        <v>246</v>
      </c>
      <c r="O21" s="3" t="s">
        <v>93</v>
      </c>
      <c r="P21" s="16"/>
    </row>
    <row r="22" customFormat="false" ht="57.45" hidden="false" customHeight="false" outlineLevel="0" collapsed="false">
      <c r="A22" s="14" t="s">
        <v>247</v>
      </c>
      <c r="B22" s="3" t="s">
        <v>248</v>
      </c>
      <c r="C22" s="3" t="s">
        <v>71</v>
      </c>
      <c r="D22" s="3" t="s">
        <v>81</v>
      </c>
      <c r="E22" s="3" t="s">
        <v>249</v>
      </c>
      <c r="F22" s="3" t="s">
        <v>250</v>
      </c>
      <c r="G22" s="3" t="s">
        <v>251</v>
      </c>
      <c r="H22" s="15" t="n">
        <v>2.5</v>
      </c>
      <c r="I22" s="15" t="n">
        <v>1</v>
      </c>
      <c r="J22" s="3" t="s">
        <v>51</v>
      </c>
      <c r="K22" s="3" t="s">
        <v>252</v>
      </c>
      <c r="L22" s="3" t="s">
        <v>130</v>
      </c>
      <c r="M22" s="3" t="s">
        <v>253</v>
      </c>
      <c r="N22" s="3" t="s">
        <v>254</v>
      </c>
      <c r="O22" s="3" t="s">
        <v>93</v>
      </c>
      <c r="P22" s="16"/>
    </row>
    <row r="23" customFormat="false" ht="35.05" hidden="false" customHeight="false" outlineLevel="0" collapsed="false">
      <c r="A23" s="14" t="s">
        <v>255</v>
      </c>
      <c r="B23" s="3" t="s">
        <v>256</v>
      </c>
      <c r="C23" s="3" t="s">
        <v>71</v>
      </c>
      <c r="D23" s="3" t="s">
        <v>78</v>
      </c>
      <c r="E23" s="3" t="s">
        <v>257</v>
      </c>
      <c r="F23" s="3" t="s">
        <v>258</v>
      </c>
      <c r="G23" s="3" t="s">
        <v>259</v>
      </c>
      <c r="H23" s="15" t="n">
        <v>2.5</v>
      </c>
      <c r="I23" s="15" t="n">
        <v>0</v>
      </c>
      <c r="J23" s="3" t="s">
        <v>51</v>
      </c>
      <c r="K23" s="3" t="s">
        <v>252</v>
      </c>
      <c r="L23" s="3" t="s">
        <v>130</v>
      </c>
      <c r="M23" s="3" t="s">
        <v>260</v>
      </c>
      <c r="N23" s="3" t="s">
        <v>261</v>
      </c>
      <c r="O23" s="3" t="s">
        <v>93</v>
      </c>
      <c r="P23" s="16"/>
    </row>
    <row r="24" customFormat="false" ht="46.25" hidden="false" customHeight="false" outlineLevel="0" collapsed="false">
      <c r="A24" s="14" t="s">
        <v>262</v>
      </c>
      <c r="B24" s="3" t="s">
        <v>263</v>
      </c>
      <c r="C24" s="3" t="s">
        <v>71</v>
      </c>
      <c r="D24" s="3" t="s">
        <v>81</v>
      </c>
      <c r="E24" s="3" t="s">
        <v>264</v>
      </c>
      <c r="F24" s="3" t="s">
        <v>265</v>
      </c>
      <c r="G24" s="3" t="s">
        <v>266</v>
      </c>
      <c r="H24" s="15" t="n">
        <v>3</v>
      </c>
      <c r="I24" s="15" t="n">
        <v>0.5</v>
      </c>
      <c r="J24" s="3" t="s">
        <v>51</v>
      </c>
      <c r="K24" s="3" t="s">
        <v>252</v>
      </c>
      <c r="L24" s="3" t="s">
        <v>114</v>
      </c>
      <c r="M24" s="3" t="s">
        <v>225</v>
      </c>
      <c r="N24" s="3" t="s">
        <v>267</v>
      </c>
      <c r="O24" s="3" t="s">
        <v>93</v>
      </c>
      <c r="P24" s="16"/>
    </row>
    <row r="25" customFormat="false" ht="35.05" hidden="false" customHeight="false" outlineLevel="0" collapsed="false">
      <c r="A25" s="14" t="s">
        <v>268</v>
      </c>
      <c r="B25" s="3" t="s">
        <v>269</v>
      </c>
      <c r="C25" s="3" t="s">
        <v>71</v>
      </c>
      <c r="D25" s="3" t="s">
        <v>84</v>
      </c>
      <c r="E25" s="3" t="s">
        <v>270</v>
      </c>
      <c r="F25" s="3" t="s">
        <v>271</v>
      </c>
      <c r="G25" s="3" t="s">
        <v>272</v>
      </c>
      <c r="H25" s="15" t="n">
        <v>2</v>
      </c>
      <c r="I25" s="15" t="n">
        <v>0</v>
      </c>
      <c r="J25" s="3" t="s">
        <v>51</v>
      </c>
      <c r="K25" s="3" t="s">
        <v>273</v>
      </c>
      <c r="L25" s="3" t="s">
        <v>114</v>
      </c>
      <c r="M25" s="3" t="s">
        <v>108</v>
      </c>
      <c r="N25" s="3" t="s">
        <v>274</v>
      </c>
      <c r="O25" s="3" t="s">
        <v>93</v>
      </c>
      <c r="P25" s="16"/>
    </row>
    <row r="26" customFormat="false" ht="23.85" hidden="false" customHeight="false" outlineLevel="0" collapsed="false">
      <c r="A26" s="14" t="s">
        <v>275</v>
      </c>
      <c r="B26" s="3" t="s">
        <v>256</v>
      </c>
      <c r="C26" s="3" t="s">
        <v>71</v>
      </c>
      <c r="D26" s="3" t="s">
        <v>78</v>
      </c>
      <c r="E26" s="3" t="s">
        <v>276</v>
      </c>
      <c r="F26" s="3" t="s">
        <v>277</v>
      </c>
      <c r="G26" s="3" t="s">
        <v>278</v>
      </c>
      <c r="H26" s="15" t="n">
        <v>2.5</v>
      </c>
      <c r="I26" s="15" t="n">
        <v>0</v>
      </c>
      <c r="J26" s="3" t="s">
        <v>51</v>
      </c>
      <c r="K26" s="3" t="s">
        <v>279</v>
      </c>
      <c r="L26" s="3" t="s">
        <v>130</v>
      </c>
      <c r="M26" s="3" t="s">
        <v>124</v>
      </c>
      <c r="N26" s="3" t="s">
        <v>280</v>
      </c>
      <c r="O26" s="3" t="s">
        <v>93</v>
      </c>
      <c r="P26" s="16"/>
    </row>
    <row r="27" customFormat="false" ht="23.85" hidden="false" customHeight="false" outlineLevel="0" collapsed="false">
      <c r="A27" s="14" t="s">
        <v>281</v>
      </c>
      <c r="B27" s="3" t="s">
        <v>256</v>
      </c>
      <c r="C27" s="3" t="s">
        <v>71</v>
      </c>
      <c r="D27" s="3" t="s">
        <v>78</v>
      </c>
      <c r="E27" s="3" t="s">
        <v>282</v>
      </c>
      <c r="F27" s="3" t="s">
        <v>283</v>
      </c>
      <c r="G27" s="3" t="s">
        <v>284</v>
      </c>
      <c r="H27" s="15" t="n">
        <v>1.5</v>
      </c>
      <c r="I27" s="15" t="n">
        <v>0</v>
      </c>
      <c r="J27" s="3" t="s">
        <v>51</v>
      </c>
      <c r="K27" s="3" t="s">
        <v>285</v>
      </c>
      <c r="L27" s="3" t="s">
        <v>130</v>
      </c>
      <c r="M27" s="3" t="s">
        <v>286</v>
      </c>
      <c r="N27" s="3" t="s">
        <v>287</v>
      </c>
      <c r="O27" s="3" t="s">
        <v>93</v>
      </c>
      <c r="P27" s="16"/>
    </row>
    <row r="28" customFormat="false" ht="35.05" hidden="false" customHeight="false" outlineLevel="0" collapsed="false">
      <c r="A28" s="14" t="s">
        <v>288</v>
      </c>
      <c r="B28" s="3" t="s">
        <v>289</v>
      </c>
      <c r="C28" s="3" t="s">
        <v>71</v>
      </c>
      <c r="D28" s="3" t="s">
        <v>82</v>
      </c>
      <c r="E28" s="3" t="s">
        <v>290</v>
      </c>
      <c r="F28" s="3" t="s">
        <v>291</v>
      </c>
      <c r="G28" s="3" t="s">
        <v>292</v>
      </c>
      <c r="H28" s="15" t="n">
        <v>3</v>
      </c>
      <c r="I28" s="15" t="n">
        <v>0</v>
      </c>
      <c r="J28" s="3" t="s">
        <v>52</v>
      </c>
      <c r="K28" s="3" t="s">
        <v>293</v>
      </c>
      <c r="L28" s="3" t="s">
        <v>294</v>
      </c>
      <c r="M28" s="3" t="s">
        <v>188</v>
      </c>
      <c r="N28" s="3" t="s">
        <v>295</v>
      </c>
      <c r="O28" s="3" t="s">
        <v>93</v>
      </c>
      <c r="P28" s="16"/>
    </row>
    <row r="29" customFormat="false" ht="35.05" hidden="false" customHeight="false" outlineLevel="0" collapsed="false">
      <c r="A29" s="14" t="s">
        <v>296</v>
      </c>
      <c r="B29" s="3" t="s">
        <v>297</v>
      </c>
      <c r="C29" s="3" t="s">
        <v>71</v>
      </c>
      <c r="D29" s="3" t="s">
        <v>82</v>
      </c>
      <c r="E29" s="3" t="s">
        <v>298</v>
      </c>
      <c r="F29" s="3" t="s">
        <v>299</v>
      </c>
      <c r="G29" s="3" t="s">
        <v>300</v>
      </c>
      <c r="H29" s="15" t="n">
        <v>1.5</v>
      </c>
      <c r="I29" s="15" t="n">
        <v>0</v>
      </c>
      <c r="J29" s="3" t="s">
        <v>52</v>
      </c>
      <c r="K29" s="3" t="s">
        <v>301</v>
      </c>
      <c r="L29" s="3" t="s">
        <v>294</v>
      </c>
      <c r="M29" s="3" t="s">
        <v>288</v>
      </c>
      <c r="N29" s="3" t="s">
        <v>302</v>
      </c>
      <c r="O29" s="3" t="s">
        <v>93</v>
      </c>
      <c r="P29" s="16"/>
    </row>
    <row r="30" customFormat="false" ht="35.05" hidden="false" customHeight="false" outlineLevel="0" collapsed="false">
      <c r="A30" s="14" t="s">
        <v>303</v>
      </c>
      <c r="B30" s="3" t="s">
        <v>297</v>
      </c>
      <c r="C30" s="3" t="s">
        <v>71</v>
      </c>
      <c r="D30" s="3" t="s">
        <v>82</v>
      </c>
      <c r="E30" s="3" t="s">
        <v>304</v>
      </c>
      <c r="F30" s="3" t="s">
        <v>305</v>
      </c>
      <c r="G30" s="3" t="s">
        <v>306</v>
      </c>
      <c r="H30" s="15" t="n">
        <v>6</v>
      </c>
      <c r="I30" s="15" t="n">
        <v>3</v>
      </c>
      <c r="J30" s="3" t="s">
        <v>52</v>
      </c>
      <c r="K30" s="3" t="s">
        <v>307</v>
      </c>
      <c r="L30" s="3" t="s">
        <v>308</v>
      </c>
      <c r="M30" s="3" t="s">
        <v>309</v>
      </c>
      <c r="N30" s="3" t="s">
        <v>310</v>
      </c>
      <c r="O30" s="3" t="s">
        <v>93</v>
      </c>
      <c r="P30" s="16"/>
    </row>
    <row r="31" customFormat="false" ht="46.25" hidden="false" customHeight="false" outlineLevel="0" collapsed="false">
      <c r="A31" s="14" t="s">
        <v>311</v>
      </c>
      <c r="B31" s="3" t="s">
        <v>312</v>
      </c>
      <c r="C31" s="3" t="s">
        <v>71</v>
      </c>
      <c r="D31" s="3" t="s">
        <v>82</v>
      </c>
      <c r="E31" s="3" t="s">
        <v>313</v>
      </c>
      <c r="F31" s="3" t="s">
        <v>314</v>
      </c>
      <c r="G31" s="3" t="s">
        <v>315</v>
      </c>
      <c r="H31" s="15" t="n">
        <v>1.5</v>
      </c>
      <c r="I31" s="15" t="n">
        <v>0</v>
      </c>
      <c r="J31" s="3" t="s">
        <v>52</v>
      </c>
      <c r="K31" s="3" t="s">
        <v>316</v>
      </c>
      <c r="L31" s="3" t="s">
        <v>130</v>
      </c>
      <c r="M31" s="3" t="s">
        <v>303</v>
      </c>
      <c r="N31" s="3" t="s">
        <v>317</v>
      </c>
      <c r="O31" s="3" t="s">
        <v>93</v>
      </c>
      <c r="P31" s="16"/>
    </row>
    <row r="32" customFormat="false" ht="23.85" hidden="false" customHeight="false" outlineLevel="0" collapsed="false">
      <c r="A32" s="14" t="s">
        <v>318</v>
      </c>
      <c r="B32" s="3" t="s">
        <v>319</v>
      </c>
      <c r="C32" s="3" t="s">
        <v>71</v>
      </c>
      <c r="D32" s="3" t="s">
        <v>85</v>
      </c>
      <c r="E32" s="3" t="s">
        <v>320</v>
      </c>
      <c r="F32" s="3" t="s">
        <v>321</v>
      </c>
      <c r="G32" s="3" t="s">
        <v>322</v>
      </c>
      <c r="H32" s="15" t="n">
        <v>0.5</v>
      </c>
      <c r="I32" s="15" t="n">
        <v>0</v>
      </c>
      <c r="J32" s="3" t="s">
        <v>53</v>
      </c>
      <c r="K32" s="3" t="s">
        <v>323</v>
      </c>
      <c r="L32" s="3" t="s">
        <v>324</v>
      </c>
      <c r="M32" s="3" t="s">
        <v>234</v>
      </c>
      <c r="N32" s="3" t="s">
        <v>325</v>
      </c>
      <c r="O32" s="3" t="s">
        <v>93</v>
      </c>
      <c r="P32" s="16"/>
    </row>
    <row r="33" customFormat="false" ht="46.25" hidden="false" customHeight="false" outlineLevel="0" collapsed="false">
      <c r="A33" s="14" t="s">
        <v>326</v>
      </c>
      <c r="B33" s="3" t="s">
        <v>319</v>
      </c>
      <c r="C33" s="3" t="s">
        <v>71</v>
      </c>
      <c r="D33" s="3" t="s">
        <v>85</v>
      </c>
      <c r="E33" s="3" t="s">
        <v>327</v>
      </c>
      <c r="F33" s="3" t="s">
        <v>328</v>
      </c>
      <c r="G33" s="3" t="s">
        <v>329</v>
      </c>
      <c r="H33" s="15" t="n">
        <v>3</v>
      </c>
      <c r="I33" s="15" t="n">
        <v>0</v>
      </c>
      <c r="J33" s="3" t="s">
        <v>53</v>
      </c>
      <c r="K33" s="3" t="s">
        <v>323</v>
      </c>
      <c r="L33" s="3" t="s">
        <v>130</v>
      </c>
      <c r="M33" s="3" t="s">
        <v>330</v>
      </c>
      <c r="N33" s="3" t="s">
        <v>331</v>
      </c>
      <c r="O33" s="3" t="s">
        <v>93</v>
      </c>
      <c r="P33" s="16"/>
    </row>
    <row r="34" customFormat="false" ht="23.85" hidden="false" customHeight="false" outlineLevel="0" collapsed="false">
      <c r="A34" s="14" t="s">
        <v>332</v>
      </c>
      <c r="B34" s="3" t="s">
        <v>319</v>
      </c>
      <c r="C34" s="3" t="s">
        <v>71</v>
      </c>
      <c r="D34" s="3" t="s">
        <v>85</v>
      </c>
      <c r="E34" s="3" t="s">
        <v>333</v>
      </c>
      <c r="F34" s="3" t="s">
        <v>334</v>
      </c>
      <c r="G34" s="3" t="s">
        <v>335</v>
      </c>
      <c r="H34" s="15" t="n">
        <v>1</v>
      </c>
      <c r="I34" s="15" t="n">
        <v>0</v>
      </c>
      <c r="J34" s="3" t="s">
        <v>53</v>
      </c>
      <c r="K34" s="3" t="s">
        <v>323</v>
      </c>
      <c r="L34" s="3" t="s">
        <v>122</v>
      </c>
      <c r="M34" s="3" t="s">
        <v>326</v>
      </c>
      <c r="N34" s="3" t="s">
        <v>336</v>
      </c>
      <c r="O34" s="3" t="s">
        <v>93</v>
      </c>
      <c r="P34" s="16"/>
    </row>
    <row r="35" customFormat="false" ht="23.85" hidden="false" customHeight="false" outlineLevel="0" collapsed="false">
      <c r="A35" s="14" t="s">
        <v>337</v>
      </c>
      <c r="B35" s="3" t="s">
        <v>338</v>
      </c>
      <c r="C35" s="3" t="s">
        <v>71</v>
      </c>
      <c r="D35" s="3" t="s">
        <v>85</v>
      </c>
      <c r="E35" s="3" t="s">
        <v>339</v>
      </c>
      <c r="F35" s="3" t="s">
        <v>340</v>
      </c>
      <c r="G35" s="3" t="s">
        <v>341</v>
      </c>
      <c r="H35" s="15" t="n">
        <v>1</v>
      </c>
      <c r="I35" s="15" t="n">
        <v>0</v>
      </c>
      <c r="J35" s="3" t="s">
        <v>53</v>
      </c>
      <c r="K35" s="3" t="s">
        <v>323</v>
      </c>
      <c r="L35" s="3" t="s">
        <v>122</v>
      </c>
      <c r="M35" s="3" t="s">
        <v>116</v>
      </c>
      <c r="N35" s="3" t="s">
        <v>342</v>
      </c>
      <c r="O35" s="3" t="s">
        <v>93</v>
      </c>
      <c r="P35" s="16"/>
    </row>
    <row r="36" customFormat="false" ht="23.85" hidden="false" customHeight="false" outlineLevel="0" collapsed="false">
      <c r="A36" s="14" t="s">
        <v>343</v>
      </c>
      <c r="B36" s="3" t="s">
        <v>344</v>
      </c>
      <c r="C36" s="3" t="s">
        <v>71</v>
      </c>
      <c r="D36" s="3" t="s">
        <v>84</v>
      </c>
      <c r="E36" s="3" t="s">
        <v>345</v>
      </c>
      <c r="F36" s="3" t="s">
        <v>346</v>
      </c>
      <c r="G36" s="3" t="s">
        <v>347</v>
      </c>
      <c r="H36" s="15" t="n">
        <v>2</v>
      </c>
      <c r="I36" s="15" t="n">
        <v>0</v>
      </c>
      <c r="J36" s="3" t="s">
        <v>53</v>
      </c>
      <c r="K36" s="3" t="s">
        <v>323</v>
      </c>
      <c r="L36" s="3" t="s">
        <v>130</v>
      </c>
      <c r="M36" s="3" t="s">
        <v>116</v>
      </c>
      <c r="N36" s="3" t="s">
        <v>348</v>
      </c>
      <c r="O36" s="3" t="s">
        <v>93</v>
      </c>
      <c r="P36" s="16"/>
    </row>
    <row r="37" customFormat="false" ht="35.05" hidden="false" customHeight="false" outlineLevel="0" collapsed="false">
      <c r="A37" s="14" t="s">
        <v>349</v>
      </c>
      <c r="B37" s="3" t="s">
        <v>350</v>
      </c>
      <c r="C37" s="3" t="s">
        <v>71</v>
      </c>
      <c r="D37" s="3" t="s">
        <v>86</v>
      </c>
      <c r="E37" s="3" t="s">
        <v>351</v>
      </c>
      <c r="F37" s="3" t="s">
        <v>352</v>
      </c>
      <c r="G37" s="3" t="s">
        <v>353</v>
      </c>
      <c r="H37" s="15" t="n">
        <v>2.5</v>
      </c>
      <c r="I37" s="15" t="n">
        <v>0</v>
      </c>
      <c r="J37" s="3" t="s">
        <v>53</v>
      </c>
      <c r="K37" s="3" t="s">
        <v>323</v>
      </c>
      <c r="L37" s="3" t="s">
        <v>130</v>
      </c>
      <c r="M37" s="3" t="s">
        <v>332</v>
      </c>
      <c r="N37" s="3" t="s">
        <v>354</v>
      </c>
      <c r="O37" s="3" t="s">
        <v>93</v>
      </c>
      <c r="P37" s="16"/>
    </row>
    <row r="38" customFormat="false" ht="23.85" hidden="false" customHeight="false" outlineLevel="0" collapsed="false">
      <c r="A38" s="14" t="s">
        <v>355</v>
      </c>
      <c r="B38" s="3" t="s">
        <v>356</v>
      </c>
      <c r="C38" s="3" t="s">
        <v>71</v>
      </c>
      <c r="D38" s="3" t="s">
        <v>86</v>
      </c>
      <c r="E38" s="3" t="s">
        <v>357</v>
      </c>
      <c r="F38" s="3" t="s">
        <v>358</v>
      </c>
      <c r="G38" s="3" t="s">
        <v>359</v>
      </c>
      <c r="H38" s="15" t="n">
        <v>3</v>
      </c>
      <c r="I38" s="15" t="n">
        <v>0</v>
      </c>
      <c r="J38" s="3" t="s">
        <v>53</v>
      </c>
      <c r="K38" s="3" t="s">
        <v>360</v>
      </c>
      <c r="L38" s="3" t="s">
        <v>130</v>
      </c>
      <c r="M38" s="3" t="s">
        <v>349</v>
      </c>
      <c r="N38" s="3" t="s">
        <v>361</v>
      </c>
      <c r="O38" s="3" t="s">
        <v>93</v>
      </c>
      <c r="P38" s="16"/>
    </row>
    <row r="39" customFormat="false" ht="35.05" hidden="false" customHeight="false" outlineLevel="0" collapsed="false">
      <c r="A39" s="14" t="s">
        <v>362</v>
      </c>
      <c r="B39" s="3" t="s">
        <v>350</v>
      </c>
      <c r="C39" s="3" t="s">
        <v>71</v>
      </c>
      <c r="D39" s="3" t="s">
        <v>86</v>
      </c>
      <c r="E39" s="3" t="s">
        <v>363</v>
      </c>
      <c r="F39" s="3" t="s">
        <v>364</v>
      </c>
      <c r="G39" s="3" t="s">
        <v>365</v>
      </c>
      <c r="H39" s="15" t="n">
        <v>1.5</v>
      </c>
      <c r="I39" s="15" t="n">
        <v>0</v>
      </c>
      <c r="J39" s="3" t="s">
        <v>53</v>
      </c>
      <c r="K39" s="3" t="s">
        <v>360</v>
      </c>
      <c r="L39" s="3" t="s">
        <v>114</v>
      </c>
      <c r="M39" s="3" t="s">
        <v>366</v>
      </c>
      <c r="N39" s="3" t="s">
        <v>367</v>
      </c>
      <c r="O39" s="3" t="s">
        <v>93</v>
      </c>
      <c r="P39" s="16"/>
    </row>
    <row r="40" customFormat="false" ht="23.85" hidden="false" customHeight="false" outlineLevel="0" collapsed="false">
      <c r="A40" s="14" t="s">
        <v>368</v>
      </c>
      <c r="B40" s="3" t="s">
        <v>369</v>
      </c>
      <c r="C40" s="3" t="s">
        <v>72</v>
      </c>
      <c r="D40" s="3" t="s">
        <v>87</v>
      </c>
      <c r="E40" s="3" t="s">
        <v>370</v>
      </c>
      <c r="F40" s="3" t="s">
        <v>371</v>
      </c>
      <c r="G40" s="3" t="s">
        <v>372</v>
      </c>
      <c r="H40" s="15" t="n">
        <v>1</v>
      </c>
      <c r="I40" s="15" t="n">
        <v>0</v>
      </c>
      <c r="J40" s="3" t="s">
        <v>53</v>
      </c>
      <c r="K40" s="3" t="s">
        <v>360</v>
      </c>
      <c r="L40" s="3" t="s">
        <v>130</v>
      </c>
      <c r="M40" s="3" t="s">
        <v>326</v>
      </c>
      <c r="N40" s="3" t="s">
        <v>373</v>
      </c>
      <c r="O40" s="3" t="s">
        <v>93</v>
      </c>
      <c r="P40" s="16"/>
    </row>
    <row r="41" customFormat="false" ht="23.85" hidden="false" customHeight="false" outlineLevel="0" collapsed="false">
      <c r="A41" s="14" t="s">
        <v>374</v>
      </c>
      <c r="B41" s="3" t="s">
        <v>375</v>
      </c>
      <c r="C41" s="3" t="s">
        <v>72</v>
      </c>
      <c r="D41" s="3" t="s">
        <v>87</v>
      </c>
      <c r="E41" s="3" t="s">
        <v>376</v>
      </c>
      <c r="F41" s="3" t="s">
        <v>377</v>
      </c>
      <c r="G41" s="3" t="s">
        <v>378</v>
      </c>
      <c r="H41" s="15" t="n">
        <v>1.5</v>
      </c>
      <c r="I41" s="15" t="n">
        <v>0</v>
      </c>
      <c r="J41" s="3" t="s">
        <v>53</v>
      </c>
      <c r="K41" s="3" t="s">
        <v>360</v>
      </c>
      <c r="L41" s="3" t="s">
        <v>114</v>
      </c>
      <c r="M41" s="3" t="s">
        <v>379</v>
      </c>
      <c r="N41" s="3" t="s">
        <v>380</v>
      </c>
      <c r="O41" s="3" t="s">
        <v>93</v>
      </c>
      <c r="P41" s="16"/>
    </row>
    <row r="42" customFormat="false" ht="35.05" hidden="false" customHeight="false" outlineLevel="0" collapsed="false">
      <c r="A42" s="14" t="s">
        <v>381</v>
      </c>
      <c r="B42" s="3" t="s">
        <v>338</v>
      </c>
      <c r="C42" s="3" t="s">
        <v>71</v>
      </c>
      <c r="D42" s="3" t="s">
        <v>83</v>
      </c>
      <c r="E42" s="3" t="s">
        <v>382</v>
      </c>
      <c r="F42" s="3" t="s">
        <v>383</v>
      </c>
      <c r="G42" s="3" t="s">
        <v>384</v>
      </c>
      <c r="H42" s="15" t="n">
        <v>2</v>
      </c>
      <c r="I42" s="15" t="n">
        <v>0</v>
      </c>
      <c r="J42" s="3" t="s">
        <v>53</v>
      </c>
      <c r="K42" s="3" t="s">
        <v>360</v>
      </c>
      <c r="L42" s="3" t="s">
        <v>114</v>
      </c>
      <c r="M42" s="3" t="s">
        <v>385</v>
      </c>
      <c r="N42" s="3" t="s">
        <v>386</v>
      </c>
      <c r="O42" s="3" t="s">
        <v>93</v>
      </c>
      <c r="P42" s="16"/>
    </row>
    <row r="43" customFormat="false" ht="35.05" hidden="false" customHeight="false" outlineLevel="0" collapsed="false">
      <c r="A43" s="14" t="s">
        <v>387</v>
      </c>
      <c r="B43" s="3" t="s">
        <v>388</v>
      </c>
      <c r="C43" s="3" t="s">
        <v>71</v>
      </c>
      <c r="D43" s="3" t="s">
        <v>88</v>
      </c>
      <c r="E43" s="3" t="s">
        <v>389</v>
      </c>
      <c r="F43" s="3" t="s">
        <v>390</v>
      </c>
      <c r="G43" s="3" t="s">
        <v>391</v>
      </c>
      <c r="H43" s="15" t="n">
        <v>3</v>
      </c>
      <c r="I43" s="15" t="n">
        <v>0</v>
      </c>
      <c r="J43" s="3" t="s">
        <v>54</v>
      </c>
      <c r="K43" s="3" t="s">
        <v>392</v>
      </c>
      <c r="L43" s="3" t="s">
        <v>130</v>
      </c>
      <c r="M43" s="3" t="s">
        <v>393</v>
      </c>
      <c r="N43" s="3" t="s">
        <v>394</v>
      </c>
      <c r="O43" s="3" t="s">
        <v>93</v>
      </c>
      <c r="P43" s="16"/>
    </row>
    <row r="44" customFormat="false" ht="35.05" hidden="false" customHeight="false" outlineLevel="0" collapsed="false">
      <c r="A44" s="14" t="s">
        <v>395</v>
      </c>
      <c r="B44" s="3" t="s">
        <v>388</v>
      </c>
      <c r="C44" s="3" t="s">
        <v>71</v>
      </c>
      <c r="D44" s="3" t="s">
        <v>88</v>
      </c>
      <c r="E44" s="3" t="s">
        <v>396</v>
      </c>
      <c r="F44" s="3" t="s">
        <v>397</v>
      </c>
      <c r="G44" s="3" t="s">
        <v>398</v>
      </c>
      <c r="H44" s="15" t="n">
        <v>2</v>
      </c>
      <c r="I44" s="15" t="n">
        <v>0</v>
      </c>
      <c r="J44" s="3" t="s">
        <v>54</v>
      </c>
      <c r="K44" s="3" t="s">
        <v>392</v>
      </c>
      <c r="L44" s="3" t="s">
        <v>130</v>
      </c>
      <c r="M44" s="3" t="s">
        <v>399</v>
      </c>
      <c r="N44" s="3" t="s">
        <v>400</v>
      </c>
      <c r="O44" s="3" t="s">
        <v>93</v>
      </c>
      <c r="P44" s="16"/>
    </row>
    <row r="45" customFormat="false" ht="23.85" hidden="false" customHeight="false" outlineLevel="0" collapsed="false">
      <c r="A45" s="14" t="s">
        <v>401</v>
      </c>
      <c r="B45" s="3" t="s">
        <v>388</v>
      </c>
      <c r="C45" s="3" t="s">
        <v>71</v>
      </c>
      <c r="D45" s="3" t="s">
        <v>88</v>
      </c>
      <c r="E45" s="3" t="s">
        <v>402</v>
      </c>
      <c r="F45" s="3" t="s">
        <v>403</v>
      </c>
      <c r="G45" s="3" t="s">
        <v>404</v>
      </c>
      <c r="H45" s="15" t="n">
        <v>1</v>
      </c>
      <c r="I45" s="15" t="n">
        <v>0</v>
      </c>
      <c r="J45" s="3" t="s">
        <v>54</v>
      </c>
      <c r="K45" s="3" t="s">
        <v>392</v>
      </c>
      <c r="L45" s="3" t="s">
        <v>114</v>
      </c>
      <c r="M45" s="3" t="s">
        <v>405</v>
      </c>
      <c r="N45" s="3" t="s">
        <v>406</v>
      </c>
      <c r="O45" s="3" t="s">
        <v>93</v>
      </c>
      <c r="P45" s="16"/>
    </row>
    <row r="46" customFormat="false" ht="23.85" hidden="false" customHeight="false" outlineLevel="0" collapsed="false">
      <c r="A46" s="14" t="s">
        <v>407</v>
      </c>
      <c r="B46" s="3" t="s">
        <v>338</v>
      </c>
      <c r="C46" s="3" t="s">
        <v>71</v>
      </c>
      <c r="D46" s="3" t="s">
        <v>83</v>
      </c>
      <c r="E46" s="3" t="s">
        <v>408</v>
      </c>
      <c r="F46" s="3" t="s">
        <v>409</v>
      </c>
      <c r="G46" s="3" t="s">
        <v>410</v>
      </c>
      <c r="H46" s="15" t="n">
        <v>2</v>
      </c>
      <c r="I46" s="15" t="n">
        <v>0</v>
      </c>
      <c r="J46" s="3" t="s">
        <v>54</v>
      </c>
      <c r="K46" s="3" t="s">
        <v>392</v>
      </c>
      <c r="L46" s="3" t="s">
        <v>411</v>
      </c>
      <c r="M46" s="3" t="s">
        <v>412</v>
      </c>
      <c r="N46" s="3" t="s">
        <v>413</v>
      </c>
      <c r="O46" s="3" t="s">
        <v>93</v>
      </c>
      <c r="P46" s="16"/>
    </row>
    <row r="47" customFormat="false" ht="35.05" hidden="false" customHeight="false" outlineLevel="0" collapsed="false">
      <c r="A47" s="14" t="s">
        <v>414</v>
      </c>
      <c r="B47" s="3" t="s">
        <v>415</v>
      </c>
      <c r="C47" s="3" t="s">
        <v>71</v>
      </c>
      <c r="D47" s="3" t="s">
        <v>89</v>
      </c>
      <c r="E47" s="3" t="s">
        <v>416</v>
      </c>
      <c r="F47" s="3" t="s">
        <v>417</v>
      </c>
      <c r="G47" s="3" t="s">
        <v>418</v>
      </c>
      <c r="H47" s="15" t="n">
        <v>3</v>
      </c>
      <c r="I47" s="15" t="n">
        <v>0</v>
      </c>
      <c r="J47" s="3" t="s">
        <v>54</v>
      </c>
      <c r="K47" s="3" t="s">
        <v>419</v>
      </c>
      <c r="L47" s="3" t="s">
        <v>114</v>
      </c>
      <c r="M47" s="3" t="s">
        <v>420</v>
      </c>
      <c r="N47" s="3" t="s">
        <v>421</v>
      </c>
      <c r="O47" s="3" t="s">
        <v>93</v>
      </c>
      <c r="P47" s="16"/>
    </row>
    <row r="48" customFormat="false" ht="23.85" hidden="false" customHeight="false" outlineLevel="0" collapsed="false">
      <c r="A48" s="14" t="s">
        <v>422</v>
      </c>
      <c r="B48" s="3" t="s">
        <v>338</v>
      </c>
      <c r="C48" s="3" t="s">
        <v>71</v>
      </c>
      <c r="D48" s="3" t="s">
        <v>83</v>
      </c>
      <c r="E48" s="3" t="s">
        <v>423</v>
      </c>
      <c r="F48" s="3" t="s">
        <v>424</v>
      </c>
      <c r="G48" s="3" t="s">
        <v>425</v>
      </c>
      <c r="H48" s="15" t="n">
        <v>1</v>
      </c>
      <c r="I48" s="15" t="n">
        <v>0</v>
      </c>
      <c r="J48" s="3" t="s">
        <v>54</v>
      </c>
      <c r="K48" s="3" t="s">
        <v>426</v>
      </c>
      <c r="L48" s="3" t="s">
        <v>427</v>
      </c>
      <c r="M48" s="3" t="s">
        <v>428</v>
      </c>
      <c r="N48" s="3" t="s">
        <v>429</v>
      </c>
      <c r="O48" s="3" t="s">
        <v>93</v>
      </c>
      <c r="P48" s="16"/>
    </row>
    <row r="49" customFormat="false" ht="23.85" hidden="false" customHeight="false" outlineLevel="0" collapsed="false">
      <c r="A49" s="14" t="s">
        <v>430</v>
      </c>
      <c r="B49" s="3" t="s">
        <v>431</v>
      </c>
      <c r="C49" s="3" t="s">
        <v>71</v>
      </c>
      <c r="D49" s="3" t="s">
        <v>83</v>
      </c>
      <c r="E49" s="3" t="s">
        <v>432</v>
      </c>
      <c r="F49" s="3" t="s">
        <v>433</v>
      </c>
      <c r="G49" s="3" t="s">
        <v>434</v>
      </c>
      <c r="H49" s="15" t="n">
        <v>2</v>
      </c>
      <c r="I49" s="15" t="n">
        <v>0</v>
      </c>
      <c r="J49" s="3" t="s">
        <v>54</v>
      </c>
      <c r="K49" s="3" t="s">
        <v>426</v>
      </c>
      <c r="L49" s="3" t="s">
        <v>324</v>
      </c>
      <c r="M49" s="3" t="s">
        <v>74</v>
      </c>
      <c r="N49" s="3" t="s">
        <v>302</v>
      </c>
      <c r="O49" s="3" t="s">
        <v>93</v>
      </c>
      <c r="P49" s="16"/>
    </row>
    <row r="50" customFormat="false" ht="23.85" hidden="false" customHeight="false" outlineLevel="0" collapsed="false">
      <c r="A50" s="14" t="s">
        <v>435</v>
      </c>
      <c r="B50" s="3" t="s">
        <v>436</v>
      </c>
      <c r="C50" s="3" t="s">
        <v>71</v>
      </c>
      <c r="D50" s="3" t="s">
        <v>89</v>
      </c>
      <c r="E50" s="3" t="s">
        <v>437</v>
      </c>
      <c r="F50" s="3" t="s">
        <v>438</v>
      </c>
      <c r="G50" s="3" t="s">
        <v>439</v>
      </c>
      <c r="H50" s="15" t="n">
        <v>0</v>
      </c>
      <c r="I50" s="15" t="n">
        <v>0</v>
      </c>
      <c r="J50" s="3" t="s">
        <v>54</v>
      </c>
      <c r="K50" s="3" t="s">
        <v>440</v>
      </c>
      <c r="L50" s="3" t="s">
        <v>441</v>
      </c>
      <c r="M50" s="3" t="s">
        <v>442</v>
      </c>
      <c r="N50" s="3" t="s">
        <v>443</v>
      </c>
      <c r="O50" s="3" t="s">
        <v>93</v>
      </c>
      <c r="P50" s="16"/>
    </row>
    <row r="51" customFormat="false" ht="23.85" hidden="false" customHeight="false" outlineLevel="0" collapsed="false">
      <c r="A51" s="14" t="s">
        <v>444</v>
      </c>
      <c r="B51" s="3" t="s">
        <v>445</v>
      </c>
      <c r="C51" s="3" t="s">
        <v>73</v>
      </c>
      <c r="D51" s="3" t="s">
        <v>90</v>
      </c>
      <c r="E51" s="3" t="s">
        <v>446</v>
      </c>
      <c r="F51" s="3" t="s">
        <v>447</v>
      </c>
      <c r="G51" s="3" t="s">
        <v>74</v>
      </c>
      <c r="H51" s="15" t="n">
        <v>0</v>
      </c>
      <c r="I51" s="15" t="n">
        <v>0</v>
      </c>
      <c r="J51" s="3" t="s">
        <v>56</v>
      </c>
      <c r="K51" s="3" t="s">
        <v>74</v>
      </c>
      <c r="L51" s="3" t="s">
        <v>74</v>
      </c>
      <c r="M51" s="3" t="s">
        <v>74</v>
      </c>
      <c r="N51" s="3" t="s">
        <v>448</v>
      </c>
      <c r="O51" s="3" t="s">
        <v>74</v>
      </c>
      <c r="P51" s="16"/>
    </row>
    <row r="52" customFormat="false" ht="23.85" hidden="false" customHeight="false" outlineLevel="0" collapsed="false">
      <c r="A52" s="14" t="s">
        <v>449</v>
      </c>
      <c r="B52" s="3" t="s">
        <v>445</v>
      </c>
      <c r="C52" s="3" t="s">
        <v>73</v>
      </c>
      <c r="D52" s="3" t="s">
        <v>90</v>
      </c>
      <c r="E52" s="3" t="s">
        <v>450</v>
      </c>
      <c r="F52" s="3" t="s">
        <v>451</v>
      </c>
      <c r="G52" s="3" t="s">
        <v>74</v>
      </c>
      <c r="H52" s="15" t="n">
        <v>0</v>
      </c>
      <c r="I52" s="15" t="n">
        <v>0</v>
      </c>
      <c r="J52" s="3" t="s">
        <v>56</v>
      </c>
      <c r="K52" s="3" t="s">
        <v>74</v>
      </c>
      <c r="L52" s="3" t="s">
        <v>74</v>
      </c>
      <c r="M52" s="3" t="s">
        <v>74</v>
      </c>
      <c r="N52" s="3" t="s">
        <v>452</v>
      </c>
      <c r="O52" s="3" t="s">
        <v>74</v>
      </c>
      <c r="P52" s="16"/>
    </row>
    <row r="53" customFormat="false" ht="15" hidden="false" customHeight="false" outlineLevel="0" collapsed="false">
      <c r="A53" s="14" t="s">
        <v>453</v>
      </c>
      <c r="B53" s="3" t="s">
        <v>445</v>
      </c>
      <c r="C53" s="3" t="s">
        <v>73</v>
      </c>
      <c r="D53" s="3" t="s">
        <v>90</v>
      </c>
      <c r="E53" s="3" t="s">
        <v>454</v>
      </c>
      <c r="F53" s="3" t="s">
        <v>455</v>
      </c>
      <c r="G53" s="3" t="s">
        <v>74</v>
      </c>
      <c r="H53" s="15" t="n">
        <v>0</v>
      </c>
      <c r="I53" s="15" t="n">
        <v>0</v>
      </c>
      <c r="J53" s="3" t="s">
        <v>56</v>
      </c>
      <c r="K53" s="3" t="s">
        <v>74</v>
      </c>
      <c r="L53" s="3" t="s">
        <v>74</v>
      </c>
      <c r="M53" s="3" t="s">
        <v>74</v>
      </c>
      <c r="N53" s="3" t="s">
        <v>456</v>
      </c>
      <c r="O53" s="3" t="s">
        <v>74</v>
      </c>
      <c r="P53" s="16"/>
    </row>
    <row r="54" customFormat="false" ht="15" hidden="false" customHeight="false" outlineLevel="0" collapsed="false">
      <c r="A54" s="14" t="s">
        <v>457</v>
      </c>
      <c r="B54" s="3" t="s">
        <v>445</v>
      </c>
      <c r="C54" s="3" t="s">
        <v>73</v>
      </c>
      <c r="D54" s="3" t="s">
        <v>90</v>
      </c>
      <c r="E54" s="3" t="s">
        <v>458</v>
      </c>
      <c r="F54" s="3" t="s">
        <v>459</v>
      </c>
      <c r="G54" s="3" t="s">
        <v>74</v>
      </c>
      <c r="H54" s="15" t="n">
        <v>0</v>
      </c>
      <c r="I54" s="15" t="n">
        <v>0</v>
      </c>
      <c r="J54" s="3" t="s">
        <v>56</v>
      </c>
      <c r="K54" s="3" t="s">
        <v>74</v>
      </c>
      <c r="L54" s="3" t="s">
        <v>74</v>
      </c>
      <c r="M54" s="3" t="s">
        <v>74</v>
      </c>
      <c r="N54" s="3" t="s">
        <v>460</v>
      </c>
      <c r="O54" s="3" t="s">
        <v>74</v>
      </c>
      <c r="P54" s="16"/>
    </row>
    <row r="55" customFormat="false" ht="15" hidden="false" customHeight="false" outlineLevel="0" collapsed="false">
      <c r="A55" s="14" t="s">
        <v>461</v>
      </c>
      <c r="B55" s="3" t="s">
        <v>445</v>
      </c>
      <c r="C55" s="3" t="s">
        <v>73</v>
      </c>
      <c r="D55" s="3" t="s">
        <v>90</v>
      </c>
      <c r="E55" s="3" t="s">
        <v>462</v>
      </c>
      <c r="F55" s="3" t="s">
        <v>463</v>
      </c>
      <c r="G55" s="3" t="s">
        <v>74</v>
      </c>
      <c r="H55" s="15" t="n">
        <v>0</v>
      </c>
      <c r="I55" s="15" t="n">
        <v>0</v>
      </c>
      <c r="J55" s="3" t="s">
        <v>56</v>
      </c>
      <c r="K55" s="3" t="s">
        <v>74</v>
      </c>
      <c r="L55" s="3" t="s">
        <v>74</v>
      </c>
      <c r="M55" s="3" t="s">
        <v>74</v>
      </c>
      <c r="N55" s="3" t="s">
        <v>464</v>
      </c>
      <c r="O55" s="3" t="s">
        <v>74</v>
      </c>
      <c r="P55" s="16"/>
    </row>
    <row r="56" customFormat="false" ht="23.85" hidden="false" customHeight="false" outlineLevel="0" collapsed="false">
      <c r="A56" s="14" t="s">
        <v>465</v>
      </c>
      <c r="B56" s="3" t="s">
        <v>445</v>
      </c>
      <c r="C56" s="3" t="s">
        <v>73</v>
      </c>
      <c r="D56" s="3" t="s">
        <v>90</v>
      </c>
      <c r="E56" s="3" t="s">
        <v>466</v>
      </c>
      <c r="F56" s="3" t="s">
        <v>455</v>
      </c>
      <c r="G56" s="3" t="s">
        <v>74</v>
      </c>
      <c r="H56" s="15" t="n">
        <v>0</v>
      </c>
      <c r="I56" s="15" t="n">
        <v>0</v>
      </c>
      <c r="J56" s="3" t="s">
        <v>56</v>
      </c>
      <c r="K56" s="3" t="s">
        <v>74</v>
      </c>
      <c r="L56" s="3" t="s">
        <v>74</v>
      </c>
      <c r="M56" s="3" t="s">
        <v>74</v>
      </c>
      <c r="N56" s="3" t="s">
        <v>467</v>
      </c>
      <c r="O56" s="3" t="s">
        <v>74</v>
      </c>
      <c r="P56" s="16"/>
    </row>
    <row r="57" customFormat="false" ht="15" hidden="false" customHeight="false" outlineLevel="0" collapsed="false">
      <c r="A57" s="14" t="s">
        <v>468</v>
      </c>
      <c r="B57" s="3" t="s">
        <v>445</v>
      </c>
      <c r="C57" s="3" t="s">
        <v>73</v>
      </c>
      <c r="D57" s="3" t="s">
        <v>90</v>
      </c>
      <c r="E57" s="3" t="s">
        <v>469</v>
      </c>
      <c r="F57" s="3" t="s">
        <v>470</v>
      </c>
      <c r="G57" s="3" t="s">
        <v>74</v>
      </c>
      <c r="H57" s="15" t="n">
        <v>0</v>
      </c>
      <c r="I57" s="15" t="n">
        <v>0</v>
      </c>
      <c r="J57" s="3" t="s">
        <v>56</v>
      </c>
      <c r="K57" s="3" t="s">
        <v>74</v>
      </c>
      <c r="L57" s="3" t="s">
        <v>74</v>
      </c>
      <c r="M57" s="3" t="s">
        <v>74</v>
      </c>
      <c r="N57" s="3" t="s">
        <v>471</v>
      </c>
      <c r="O57" s="3" t="s">
        <v>74</v>
      </c>
      <c r="P57" s="16"/>
    </row>
    <row r="58" customFormat="false" ht="23.85" hidden="false" customHeight="false" outlineLevel="0" collapsed="false">
      <c r="A58" s="14" t="s">
        <v>472</v>
      </c>
      <c r="B58" s="3" t="s">
        <v>74</v>
      </c>
      <c r="C58" s="3" t="s">
        <v>74</v>
      </c>
      <c r="D58" s="3" t="s">
        <v>90</v>
      </c>
      <c r="E58" s="3" t="s">
        <v>473</v>
      </c>
      <c r="F58" s="3" t="s">
        <v>474</v>
      </c>
      <c r="G58" s="3" t="s">
        <v>74</v>
      </c>
      <c r="H58" s="15" t="n">
        <v>0</v>
      </c>
      <c r="I58" s="15" t="n">
        <v>0</v>
      </c>
      <c r="J58" s="3" t="s">
        <v>55</v>
      </c>
      <c r="K58" s="3" t="s">
        <v>74</v>
      </c>
      <c r="L58" s="3" t="s">
        <v>74</v>
      </c>
      <c r="M58" s="3" t="s">
        <v>74</v>
      </c>
      <c r="N58" s="3" t="s">
        <v>475</v>
      </c>
      <c r="O58" s="3" t="s">
        <v>74</v>
      </c>
      <c r="P58" s="16"/>
    </row>
  </sheetData>
  <autoFilter ref="A1:P58"/>
  <conditionalFormatting sqref="A2:P58">
    <cfRule type="expression" priority="2" aboveAverage="0" equalAverage="0" bottom="0" percent="0" rank="0" text="" dxfId="4">
      <formula>$O2="Xong"</formula>
    </cfRule>
    <cfRule type="expression" priority="3" aboveAverage="0" equalAverage="0" bottom="0" percent="0" rank="0" text="" dxfId="5">
      <formula>$O2="Tắc"</formula>
    </cfRule>
    <cfRule type="expression" priority="4" aboveAverage="0" equalAverage="0" bottom="0" percent="0" rank="0" text="" dxfId="6">
      <formula>$O2="Đang làm"</formula>
    </cfRule>
  </conditionalFormatting>
  <dataValidations count="3">
    <dataValidation allowBlank="true" errorStyle="stop" operator="between" showDropDown="false" showErrorMessage="false" showInputMessage="false" sqref="C2:C58" type="list">
      <formula1>"P0,P1,P2,—"</formula1>
      <formula2>0</formula2>
    </dataValidation>
    <dataValidation allowBlank="true" errorStyle="stop" operator="between" showDropDown="false" showErrorMessage="false" showInputMessage="false" sqref="J2:J58" type="list">
      <formula1>"GĐ1 · T1–2 · 29/9–12/10,GĐ2 · T3–4 · 13/10–26/10,GĐ3 · T5–6 · 27/10–9/11,GĐ4 · T7–8 · 10/11–23/11,GĐ5 · T9–10 · 24/11–7/12,GĐ6 · T11–12 · 8/12–21/12,Sau MVP,Không làm (P2)"</formula1>
      <formula2>0</formula2>
    </dataValidation>
    <dataValidation allowBlank="true" errorStyle="stop" operator="between" showDropDown="false" showErrorMessage="false" showInputMessage="false" sqref="O2:O58" type="list">
      <formula1>"Chưa bắt đầu,Đang làm,Xong,Tắc,—"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0"/>
    <col collapsed="false" customWidth="true" hidden="false" outlineLevel="0" max="4" min="4" style="0" width="44"/>
    <col collapsed="false" customWidth="true" hidden="false" outlineLevel="0" max="5" min="5" style="0" width="14"/>
    <col collapsed="false" customWidth="true" hidden="false" outlineLevel="0" max="6" min="6" style="0" width="34"/>
  </cols>
  <sheetData>
    <row r="1" customFormat="false" ht="15" hidden="false" customHeight="false" outlineLevel="0" collapsed="false">
      <c r="A1" s="5" t="s">
        <v>476</v>
      </c>
      <c r="B1" s="5" t="s">
        <v>477</v>
      </c>
      <c r="C1" s="5" t="s">
        <v>478</v>
      </c>
      <c r="D1" s="5" t="s">
        <v>479</v>
      </c>
      <c r="E1" s="5" t="s">
        <v>480</v>
      </c>
      <c r="F1" s="5" t="s">
        <v>481</v>
      </c>
    </row>
    <row r="2" customFormat="false" ht="23.85" hidden="false" customHeight="false" outlineLevel="0" collapsed="false">
      <c r="A2" s="14" t="s">
        <v>482</v>
      </c>
      <c r="B2" s="3" t="s">
        <v>483</v>
      </c>
      <c r="C2" s="3" t="s">
        <v>484</v>
      </c>
      <c r="D2" s="3" t="s">
        <v>485</v>
      </c>
      <c r="E2" s="3" t="s">
        <v>486</v>
      </c>
      <c r="F2" s="3" t="s">
        <v>487</v>
      </c>
    </row>
    <row r="3" customFormat="false" ht="46.25" hidden="false" customHeight="false" outlineLevel="0" collapsed="false">
      <c r="A3" s="14" t="s">
        <v>488</v>
      </c>
      <c r="B3" s="3" t="s">
        <v>489</v>
      </c>
      <c r="C3" s="3" t="s">
        <v>490</v>
      </c>
      <c r="D3" s="3" t="s">
        <v>491</v>
      </c>
      <c r="E3" s="3" t="s">
        <v>492</v>
      </c>
      <c r="F3" s="3" t="s">
        <v>493</v>
      </c>
    </row>
    <row r="4" customFormat="false" ht="35.05" hidden="false" customHeight="false" outlineLevel="0" collapsed="false">
      <c r="A4" s="14" t="s">
        <v>494</v>
      </c>
      <c r="B4" s="3" t="s">
        <v>495</v>
      </c>
      <c r="C4" s="3" t="s">
        <v>496</v>
      </c>
      <c r="D4" s="3" t="s">
        <v>497</v>
      </c>
      <c r="E4" s="3" t="s">
        <v>176</v>
      </c>
      <c r="F4" s="3" t="s">
        <v>498</v>
      </c>
    </row>
    <row r="5" customFormat="false" ht="46.25" hidden="false" customHeight="false" outlineLevel="0" collapsed="false">
      <c r="A5" s="14" t="s">
        <v>499</v>
      </c>
      <c r="B5" s="3" t="s">
        <v>500</v>
      </c>
      <c r="C5" s="3" t="s">
        <v>501</v>
      </c>
      <c r="D5" s="3" t="s">
        <v>502</v>
      </c>
      <c r="E5" s="3" t="s">
        <v>205</v>
      </c>
      <c r="F5" s="3" t="s">
        <v>503</v>
      </c>
    </row>
    <row r="6" customFormat="false" ht="23.85" hidden="false" customHeight="false" outlineLevel="0" collapsed="false">
      <c r="A6" s="14" t="s">
        <v>504</v>
      </c>
      <c r="B6" s="3" t="s">
        <v>505</v>
      </c>
      <c r="C6" s="3" t="s">
        <v>506</v>
      </c>
      <c r="D6" s="3" t="s">
        <v>507</v>
      </c>
      <c r="E6" s="3" t="s">
        <v>262</v>
      </c>
      <c r="F6" s="3" t="s">
        <v>503</v>
      </c>
    </row>
    <row r="7" customFormat="false" ht="35.05" hidden="false" customHeight="false" outlineLevel="0" collapsed="false">
      <c r="A7" s="14" t="s">
        <v>508</v>
      </c>
      <c r="B7" s="3" t="s">
        <v>509</v>
      </c>
      <c r="C7" s="3" t="s">
        <v>510</v>
      </c>
      <c r="D7" s="3" t="s">
        <v>511</v>
      </c>
      <c r="E7" s="3" t="s">
        <v>512</v>
      </c>
      <c r="F7" s="3" t="s">
        <v>513</v>
      </c>
    </row>
    <row r="8" customFormat="false" ht="46.25" hidden="false" customHeight="false" outlineLevel="0" collapsed="false">
      <c r="A8" s="14" t="s">
        <v>514</v>
      </c>
      <c r="B8" s="3" t="s">
        <v>515</v>
      </c>
      <c r="C8" s="3" t="s">
        <v>516</v>
      </c>
      <c r="D8" s="3" t="s">
        <v>517</v>
      </c>
      <c r="E8" s="3" t="s">
        <v>518</v>
      </c>
      <c r="F8" s="3" t="s">
        <v>519</v>
      </c>
    </row>
    <row r="9" customFormat="false" ht="15" hidden="false" customHeight="false" outlineLevel="0" collapsed="false">
      <c r="A9" s="14" t="s">
        <v>520</v>
      </c>
      <c r="B9" s="3" t="s">
        <v>521</v>
      </c>
      <c r="C9" s="3" t="s">
        <v>522</v>
      </c>
      <c r="D9" s="3" t="s">
        <v>523</v>
      </c>
      <c r="E9" s="3" t="s">
        <v>524</v>
      </c>
      <c r="F9" s="3" t="s">
        <v>503</v>
      </c>
    </row>
    <row r="10" customFormat="false" ht="23.85" hidden="false" customHeight="false" outlineLevel="0" collapsed="false">
      <c r="A10" s="14" t="s">
        <v>525</v>
      </c>
      <c r="B10" s="3" t="s">
        <v>526</v>
      </c>
      <c r="C10" s="3" t="s">
        <v>527</v>
      </c>
      <c r="D10" s="3" t="s">
        <v>528</v>
      </c>
      <c r="E10" s="3" t="s">
        <v>529</v>
      </c>
      <c r="F10" s="3" t="s">
        <v>503</v>
      </c>
    </row>
    <row r="11" customFormat="false" ht="35.05" hidden="false" customHeight="false" outlineLevel="0" collapsed="false">
      <c r="A11" s="14" t="s">
        <v>530</v>
      </c>
      <c r="B11" s="3" t="s">
        <v>531</v>
      </c>
      <c r="C11" s="3" t="s">
        <v>532</v>
      </c>
      <c r="D11" s="3" t="s">
        <v>533</v>
      </c>
      <c r="E11" s="3" t="s">
        <v>534</v>
      </c>
      <c r="F11" s="3" t="s">
        <v>535</v>
      </c>
    </row>
    <row r="12" customFormat="false" ht="23.85" hidden="false" customHeight="false" outlineLevel="0" collapsed="false">
      <c r="A12" s="14" t="s">
        <v>536</v>
      </c>
      <c r="B12" s="3" t="s">
        <v>537</v>
      </c>
      <c r="C12" s="3" t="s">
        <v>538</v>
      </c>
      <c r="D12" s="3" t="s">
        <v>539</v>
      </c>
      <c r="E12" s="3" t="s">
        <v>124</v>
      </c>
      <c r="F12" s="3" t="s">
        <v>540</v>
      </c>
    </row>
    <row r="13" customFormat="false" ht="35.05" hidden="false" customHeight="false" outlineLevel="0" collapsed="false">
      <c r="A13" s="14" t="s">
        <v>541</v>
      </c>
      <c r="B13" s="3" t="s">
        <v>542</v>
      </c>
      <c r="C13" s="3" t="s">
        <v>543</v>
      </c>
      <c r="D13" s="3" t="s">
        <v>544</v>
      </c>
      <c r="E13" s="3" t="s">
        <v>545</v>
      </c>
      <c r="F13" s="3" t="s">
        <v>546</v>
      </c>
    </row>
    <row r="14" customFormat="false" ht="23.85" hidden="false" customHeight="false" outlineLevel="0" collapsed="false">
      <c r="A14" s="14" t="s">
        <v>541</v>
      </c>
      <c r="B14" s="3" t="s">
        <v>547</v>
      </c>
      <c r="C14" s="3" t="s">
        <v>548</v>
      </c>
      <c r="D14" s="3" t="s">
        <v>549</v>
      </c>
      <c r="E14" s="3" t="s">
        <v>550</v>
      </c>
      <c r="F14" s="3" t="s">
        <v>503</v>
      </c>
    </row>
    <row r="15" customFormat="false" ht="23.85" hidden="false" customHeight="false" outlineLevel="0" collapsed="false">
      <c r="A15" s="14" t="s">
        <v>541</v>
      </c>
      <c r="B15" s="3" t="s">
        <v>551</v>
      </c>
      <c r="C15" s="3" t="s">
        <v>552</v>
      </c>
      <c r="D15" s="3" t="s">
        <v>553</v>
      </c>
      <c r="E15" s="3" t="s">
        <v>554</v>
      </c>
      <c r="F15" s="3"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4" min="3" style="0" width="30"/>
    <col collapsed="false" customWidth="true" hidden="false" outlineLevel="0" max="5" min="5" style="0" width="26"/>
    <col collapsed="false" customWidth="true" hidden="false" outlineLevel="0" max="6" min="6" style="0" width="22"/>
    <col collapsed="false" customWidth="true" hidden="false" outlineLevel="0" max="7" min="7" style="0" width="20"/>
    <col collapsed="false" customWidth="true" hidden="false" outlineLevel="0" max="8" min="8" style="0" width="26"/>
    <col collapsed="false" customWidth="true" hidden="false" outlineLevel="0" max="9" min="9" style="0" width="24"/>
    <col collapsed="false" customWidth="true" hidden="false" outlineLevel="0" max="10" min="10" style="0" width="26"/>
  </cols>
  <sheetData>
    <row r="1" customFormat="false" ht="15" hidden="false" customHeight="false" outlineLevel="0" collapsed="false">
      <c r="A1" s="5" t="s">
        <v>103</v>
      </c>
      <c r="B1" s="5" t="s">
        <v>555</v>
      </c>
      <c r="C1" s="5" t="s">
        <v>556</v>
      </c>
      <c r="D1" s="5" t="s">
        <v>557</v>
      </c>
      <c r="E1" s="5" t="s">
        <v>558</v>
      </c>
      <c r="F1" s="5" t="s">
        <v>559</v>
      </c>
      <c r="G1" s="5" t="s">
        <v>560</v>
      </c>
      <c r="H1" s="5" t="s">
        <v>194</v>
      </c>
      <c r="I1" s="5" t="s">
        <v>441</v>
      </c>
      <c r="J1" s="5" t="s">
        <v>561</v>
      </c>
    </row>
    <row r="2" customFormat="false" ht="15" hidden="false" customHeight="false" outlineLevel="0" collapsed="false">
      <c r="A2" s="14" t="s">
        <v>113</v>
      </c>
      <c r="B2" s="3" t="s">
        <v>562</v>
      </c>
      <c r="C2" s="14" t="s">
        <v>563</v>
      </c>
      <c r="D2" s="3" t="s">
        <v>564</v>
      </c>
      <c r="E2" s="3" t="s">
        <v>565</v>
      </c>
      <c r="F2" s="3" t="s">
        <v>74</v>
      </c>
      <c r="G2" s="3" t="s">
        <v>74</v>
      </c>
      <c r="H2" s="3" t="s">
        <v>566</v>
      </c>
      <c r="I2" s="3" t="s">
        <v>567</v>
      </c>
      <c r="J2" s="3" t="s">
        <v>568</v>
      </c>
    </row>
    <row r="3" customFormat="false" ht="23.85" hidden="false" customHeight="false" outlineLevel="0" collapsed="false">
      <c r="A3" s="14" t="s">
        <v>129</v>
      </c>
      <c r="B3" s="3" t="s">
        <v>569</v>
      </c>
      <c r="C3" s="14" t="s">
        <v>570</v>
      </c>
      <c r="D3" s="3" t="s">
        <v>571</v>
      </c>
      <c r="E3" s="3" t="s">
        <v>572</v>
      </c>
      <c r="F3" s="3" t="s">
        <v>74</v>
      </c>
      <c r="G3" s="3" t="s">
        <v>74</v>
      </c>
      <c r="H3" s="3" t="s">
        <v>573</v>
      </c>
      <c r="I3" s="3" t="s">
        <v>574</v>
      </c>
      <c r="J3" s="3" t="s">
        <v>575</v>
      </c>
    </row>
    <row r="4" customFormat="false" ht="15" hidden="false" customHeight="false" outlineLevel="0" collapsed="false">
      <c r="A4" s="14" t="s">
        <v>210</v>
      </c>
      <c r="B4" s="3" t="s">
        <v>576</v>
      </c>
      <c r="C4" s="14" t="s">
        <v>577</v>
      </c>
      <c r="D4" s="3" t="s">
        <v>578</v>
      </c>
      <c r="E4" s="3" t="s">
        <v>579</v>
      </c>
      <c r="F4" s="3" t="s">
        <v>74</v>
      </c>
      <c r="G4" s="3" t="s">
        <v>580</v>
      </c>
      <c r="H4" s="3" t="s">
        <v>581</v>
      </c>
      <c r="I4" s="3" t="s">
        <v>582</v>
      </c>
      <c r="J4" s="3" t="s">
        <v>583</v>
      </c>
    </row>
    <row r="5" customFormat="false" ht="23.85" hidden="false" customHeight="false" outlineLevel="0" collapsed="false">
      <c r="A5" s="14" t="s">
        <v>584</v>
      </c>
      <c r="B5" s="3" t="s">
        <v>585</v>
      </c>
      <c r="C5" s="14" t="s">
        <v>586</v>
      </c>
      <c r="D5" s="3" t="s">
        <v>587</v>
      </c>
      <c r="E5" s="3" t="s">
        <v>588</v>
      </c>
      <c r="F5" s="3" t="s">
        <v>74</v>
      </c>
      <c r="G5" s="3" t="s">
        <v>589</v>
      </c>
      <c r="H5" s="3" t="s">
        <v>590</v>
      </c>
      <c r="I5" s="3" t="s">
        <v>591</v>
      </c>
      <c r="J5" s="3" t="s">
        <v>592</v>
      </c>
    </row>
    <row r="6" customFormat="false" ht="15" hidden="false" customHeight="false" outlineLevel="0" collapsed="false">
      <c r="A6" s="14" t="s">
        <v>239</v>
      </c>
      <c r="B6" s="3" t="s">
        <v>593</v>
      </c>
      <c r="C6" s="14" t="s">
        <v>594</v>
      </c>
      <c r="D6" s="3" t="s">
        <v>595</v>
      </c>
      <c r="E6" s="3" t="s">
        <v>596</v>
      </c>
      <c r="F6" s="3" t="s">
        <v>597</v>
      </c>
      <c r="G6" s="3" t="s">
        <v>598</v>
      </c>
      <c r="H6" s="3" t="s">
        <v>599</v>
      </c>
      <c r="I6" s="3" t="s">
        <v>74</v>
      </c>
      <c r="J6" s="3" t="s">
        <v>600</v>
      </c>
    </row>
    <row r="7" customFormat="false" ht="23.85" hidden="false" customHeight="false" outlineLevel="0" collapsed="false">
      <c r="A7" s="14" t="s">
        <v>279</v>
      </c>
      <c r="B7" s="3" t="s">
        <v>601</v>
      </c>
      <c r="C7" s="14" t="s">
        <v>602</v>
      </c>
      <c r="D7" s="3" t="s">
        <v>603</v>
      </c>
      <c r="E7" s="3" t="s">
        <v>604</v>
      </c>
      <c r="F7" s="3" t="s">
        <v>605</v>
      </c>
      <c r="G7" s="3" t="s">
        <v>606</v>
      </c>
      <c r="H7" s="3" t="s">
        <v>607</v>
      </c>
      <c r="I7" s="3" t="s">
        <v>74</v>
      </c>
      <c r="J7" s="3" t="s">
        <v>600</v>
      </c>
    </row>
    <row r="8" customFormat="false" ht="15" hidden="false" customHeight="false" outlineLevel="0" collapsed="false">
      <c r="A8" s="14" t="s">
        <v>301</v>
      </c>
      <c r="B8" s="3" t="s">
        <v>608</v>
      </c>
      <c r="C8" s="14" t="s">
        <v>609</v>
      </c>
      <c r="D8" s="3" t="s">
        <v>610</v>
      </c>
      <c r="E8" s="3" t="s">
        <v>611</v>
      </c>
      <c r="F8" s="3" t="s">
        <v>612</v>
      </c>
      <c r="G8" s="3" t="s">
        <v>613</v>
      </c>
      <c r="H8" s="3" t="s">
        <v>614</v>
      </c>
      <c r="I8" s="3" t="s">
        <v>74</v>
      </c>
      <c r="J8" s="3" t="s">
        <v>74</v>
      </c>
    </row>
    <row r="9" customFormat="false" ht="15" hidden="false" customHeight="false" outlineLevel="0" collapsed="false">
      <c r="A9" s="14" t="s">
        <v>316</v>
      </c>
      <c r="B9" s="3" t="s">
        <v>615</v>
      </c>
      <c r="C9" s="14" t="s">
        <v>616</v>
      </c>
      <c r="D9" s="3" t="s">
        <v>617</v>
      </c>
      <c r="E9" s="3" t="s">
        <v>618</v>
      </c>
      <c r="F9" s="3" t="s">
        <v>619</v>
      </c>
      <c r="G9" s="3" t="s">
        <v>620</v>
      </c>
      <c r="H9" s="3" t="s">
        <v>621</v>
      </c>
      <c r="I9" s="3" t="s">
        <v>74</v>
      </c>
      <c r="J9" s="3" t="s">
        <v>74</v>
      </c>
    </row>
    <row r="10" customFormat="false" ht="23.85" hidden="false" customHeight="false" outlineLevel="0" collapsed="false">
      <c r="A10" s="14" t="s">
        <v>323</v>
      </c>
      <c r="B10" s="3" t="s">
        <v>622</v>
      </c>
      <c r="C10" s="14" t="s">
        <v>623</v>
      </c>
      <c r="D10" s="3" t="s">
        <v>624</v>
      </c>
      <c r="E10" s="3" t="s">
        <v>625</v>
      </c>
      <c r="F10" s="3" t="s">
        <v>626</v>
      </c>
      <c r="G10" s="3" t="s">
        <v>627</v>
      </c>
      <c r="H10" s="3" t="s">
        <v>628</v>
      </c>
      <c r="I10" s="3" t="s">
        <v>629</v>
      </c>
      <c r="J10" s="3" t="s">
        <v>74</v>
      </c>
    </row>
    <row r="11" customFormat="false" ht="23.85" hidden="false" customHeight="false" outlineLevel="0" collapsed="false">
      <c r="A11" s="14" t="s">
        <v>360</v>
      </c>
      <c r="B11" s="3" t="s">
        <v>630</v>
      </c>
      <c r="C11" s="14" t="s">
        <v>631</v>
      </c>
      <c r="D11" s="3" t="s">
        <v>632</v>
      </c>
      <c r="E11" s="3" t="s">
        <v>633</v>
      </c>
      <c r="F11" s="3" t="s">
        <v>74</v>
      </c>
      <c r="G11" s="3" t="s">
        <v>634</v>
      </c>
      <c r="H11" s="3" t="s">
        <v>628</v>
      </c>
      <c r="I11" s="3" t="s">
        <v>635</v>
      </c>
      <c r="J11" s="3" t="s">
        <v>636</v>
      </c>
    </row>
    <row r="12" customFormat="false" ht="15" hidden="false" customHeight="false" outlineLevel="0" collapsed="false">
      <c r="A12" s="14" t="s">
        <v>392</v>
      </c>
      <c r="B12" s="3" t="s">
        <v>637</v>
      </c>
      <c r="C12" s="14" t="s">
        <v>638</v>
      </c>
      <c r="D12" s="3" t="s">
        <v>639</v>
      </c>
      <c r="E12" s="3" t="s">
        <v>640</v>
      </c>
      <c r="F12" s="3" t="s">
        <v>74</v>
      </c>
      <c r="G12" s="3" t="s">
        <v>641</v>
      </c>
      <c r="H12" s="3" t="s">
        <v>74</v>
      </c>
      <c r="I12" s="3" t="s">
        <v>642</v>
      </c>
      <c r="J12" s="3" t="s">
        <v>74</v>
      </c>
    </row>
    <row r="13" customFormat="false" ht="23.85" hidden="false" customHeight="false" outlineLevel="0" collapsed="false">
      <c r="A13" s="14" t="s">
        <v>426</v>
      </c>
      <c r="B13" s="3" t="s">
        <v>643</v>
      </c>
      <c r="C13" s="14" t="s">
        <v>644</v>
      </c>
      <c r="D13" s="3" t="s">
        <v>645</v>
      </c>
      <c r="E13" s="3" t="s">
        <v>646</v>
      </c>
      <c r="F13" s="3" t="s">
        <v>74</v>
      </c>
      <c r="G13" s="3" t="s">
        <v>647</v>
      </c>
      <c r="H13" s="3" t="s">
        <v>74</v>
      </c>
      <c r="I13" s="3" t="s">
        <v>648</v>
      </c>
      <c r="J13" s="3" t="s">
        <v>649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2026-09-29T07:12:41Z</dcterms:created>
  <dc:creator>openpyxl</dc:creator>
  <dc:description/>
  <dc:language>en-US</dc:language>
  <cp:lastModifiedBy/>
  <dcterms:modified xsi:type="dcterms:W3CDTF">2026-09-29T07:12:41Z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