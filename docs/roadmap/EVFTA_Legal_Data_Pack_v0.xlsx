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hs_codes_20" sheetId="2" state="visible" r:id="rId4"/>
    <sheet name="tariff_lines" sheetId="3" state="visible" r:id="rId5"/>
    <sheet name="staging" sheetId="4" state="visible" r:id="rId6"/>
    <sheet name="psr_rules" sheetId="5" state="visible" r:id="rId7"/>
    <sheet name="c4_test_cases" sheetId="6" state="visible" r:id="rId8"/>
    <sheet name="eur1_fields" sheetId="7" state="visible" r:id="rId9"/>
    <sheet name="corpus_manifest" sheetId="8" state="visible" r:id="rId10"/>
    <sheet name="cau_hoi_mo" sheetId="9" state="visible" r:id="rId11"/>
    <sheet name="copilot_50" sheetId="10" state="visible" r:id="rId12"/>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Năm chỉ số lấy ở sheet staging!E2. B7 năm 2026 = cơ sở × 1/8. Làm tròn: đối chiếu Phụ lục 2-A.</t>
        </r>
      </text>
    </comment>
  </commentList>
</comments>
</file>

<file path=xl/sharedStrings.xml><?xml version="1.0" encoding="utf-8"?>
<sst xmlns="http://schemas.openxmlformats.org/spreadsheetml/2006/main" count="1201" uniqueCount="665">
  <si>
    <t xml:space="preserve">Gói dữ liệu luật TM — evfta.eu MVP, bản v0 (30/9/2026)</t>
  </si>
  <si>
    <t xml:space="preserve">Người soạn</t>
  </si>
  <si>
    <t xml:space="preserve">Claude (vai chuyên viên luật TM, soạn thảo). Cột reviewed_by để trống: người duyệt là người thật, chịu trách nhiệm pháp lý.</t>
  </si>
  <si>
    <t xml:space="preserve">Trạng thái</t>
  </si>
  <si>
    <t xml:space="preserve">DỰ THẢO. Không dòng nào được hiện ra ngoài trước khi có reviewed_by + reviewed_at (quy tắc C1).</t>
  </si>
  <si>
    <t xml:space="preserve">Độ tin cậy dữ liệu (cột 'confidence')</t>
  </si>
  <si>
    <t xml:space="preserve">A = đã thấy trong nguồn chính thức/Bộ Công Thương; B = nguồn thứ cấp uy tín, cần đối chiếu văn bản gốc; C = soạn từ hiểu biết chuyên môn, BẮT BUỘC đối chiếu TARIC/Phụ lục 2-A-1/Phụ lục II NĐT1 trước khi duyệt.</t>
  </si>
  <si>
    <t xml:space="preserve">Nội dung</t>
  </si>
  <si>
    <t xml:space="preserve">hs_codes_20 (C0) · tariff_lines (C1) · psr_rules (C4) · c4_test_cases (C4) · eur1_fields (C5/Q8) · corpus_manifest (D0) · copilot_50 (D4, bản đầy đủ ở copilot_50.jsonl) · cau_hoi_mo (việc người duyệt phải chốt).</t>
  </si>
  <si>
    <t xml:space="preserve">Cách tính thuế EVFTA 2026</t>
  </si>
  <si>
    <t xml:space="preserve">Năm 1 = 2020 (hiệu lực 1/8/2020), năm 2026 = năm 7. Nhóm A về 0 ngay; B3 (4 đợt), B5 (6 đợt) đã về 0 trước 2026; B7 (8 đợt) năm 2026 còn 1/8 thuế cơ sở, về 0 từ 1/1/2027. Công thức ở cột evfta_rate_2026 tự tính từ base_rate + staging_category. Quy tắc làm tròn mức trung gian: cần đối chiếu Phụ lục 2-A.</t>
  </si>
  <si>
    <t xml:space="preserve">Ô chữ xanh dương</t>
  </si>
  <si>
    <t xml:space="preserve">Giá trị người duyệt cần kiểm/sửa. Ô nền vàng = chưa có dữ liệu, phải tra.</t>
  </si>
  <si>
    <t xml:space="preserve">Nguyên tắc</t>
  </si>
  <si>
    <t xml:space="preserve">Không đoán. Dòng nào chưa chắc: để trống + ghi rõ cần tra gì, thay vì điền số gần đúng.</t>
  </si>
  <si>
    <t xml:space="preserve">code (6 số)</t>
  </si>
  <si>
    <t xml:space="preserve">cn8 (dòng EU)</t>
  </si>
  <si>
    <t xml:space="preserve">name_vi</t>
  </si>
  <si>
    <t xml:space="preserve">name_en</t>
  </si>
  <si>
    <t xml:space="preserve">chapter</t>
  </si>
  <si>
    <t xml:space="preserve">nhóm hàng</t>
  </si>
  <si>
    <t xml:space="preserve">lý do chọn</t>
  </si>
  <si>
    <t xml:space="preserve">độ khó duyệt</t>
  </si>
  <si>
    <t xml:space="preserve">is_calculator_supported</t>
  </si>
  <si>
    <t xml:space="preserve">reviewed_by</t>
  </si>
  <si>
    <t xml:space="preserve">reviewed_at</t>
  </si>
  <si>
    <t xml:space="preserve">0306.17</t>
  </si>
  <si>
    <t xml:space="preserve">0306 17 99</t>
  </si>
  <si>
    <t xml:space="preserve">Tôm đông lạnh (khác)</t>
  </si>
  <si>
    <t xml:space="preserve">Frozen shrimps and prawns, other</t>
  </si>
  <si>
    <t xml:space="preserve">03</t>
  </si>
  <si>
    <t xml:space="preserve">Thủy sản</t>
  </si>
  <si>
    <t xml:space="preserve">Kim ngạch EUR.1 lớn nhất ngành thủy sản; ví dụ 'tiết kiệm 12%' rõ</t>
  </si>
  <si>
    <t xml:space="preserve">Dễ</t>
  </si>
  <si>
    <t xml:space="preserve">TRUE</t>
  </si>
  <si>
    <t xml:space="preserve">1605.21</t>
  </si>
  <si>
    <t xml:space="preserve">1605 21 90</t>
  </si>
  <si>
    <t xml:space="preserve">Tôm chế biến, không đóng kín khí</t>
  </si>
  <si>
    <t xml:space="preserve">Shrimps and prawns, prepared, not in airtight container</t>
  </si>
  <si>
    <t xml:space="preserve">16</t>
  </si>
  <si>
    <t xml:space="preserve">Kim ngạch EUR.1 lớn; còn thuế năm 2026 nếu là B7</t>
  </si>
  <si>
    <t xml:space="preserve">Trung bình</t>
  </si>
  <si>
    <t xml:space="preserve">1605.29</t>
  </si>
  <si>
    <t xml:space="preserve">1605 29 00</t>
  </si>
  <si>
    <t xml:space="preserve">Tôm chế biến, khác</t>
  </si>
  <si>
    <t xml:space="preserve">Shrimps and prawns, prepared, other</t>
  </si>
  <si>
    <t xml:space="preserve">Như trên</t>
  </si>
  <si>
    <t xml:space="preserve">0304.62</t>
  </si>
  <si>
    <t xml:space="preserve">0304 62 00</t>
  </si>
  <si>
    <t xml:space="preserve">Phi lê cá tra/basa đông lạnh</t>
  </si>
  <si>
    <t xml:space="preserve">Frozen fillets of catfish (Pangasius)</t>
  </si>
  <si>
    <t xml:space="preserve">Tỷ lệ dùng C/O cao nhất (87%)</t>
  </si>
  <si>
    <t xml:space="preserve">0304.87</t>
  </si>
  <si>
    <t xml:space="preserve">0304 87 00</t>
  </si>
  <si>
    <t xml:space="preserve">Phi lê cá ngừ đông lạnh</t>
  </si>
  <si>
    <t xml:space="preserve">Frozen fillets of tuna</t>
  </si>
  <si>
    <t xml:space="preserve">Thuế cơ sở 18%, lộ trình đã rõ</t>
  </si>
  <si>
    <t xml:space="preserve">1604.14</t>
  </si>
  <si>
    <t xml:space="preserve">1604 14 xx</t>
  </si>
  <si>
    <t xml:space="preserve">Cá ngừ đóng hộp</t>
  </si>
  <si>
    <t xml:space="preserve">Prepared or preserved tuna</t>
  </si>
  <si>
    <t xml:space="preserve">Ca hạn ngạch 11.500 tấn → kiểm tra hành vi 'cần kiểm thêm'</t>
  </si>
  <si>
    <t xml:space="preserve">Khó (TRQ)</t>
  </si>
  <si>
    <t xml:space="preserve">TRUE (trả 'cần kiểm thêm')</t>
  </si>
  <si>
    <t xml:space="preserve">0307.43</t>
  </si>
  <si>
    <t xml:space="preserve">0307 43 xx</t>
  </si>
  <si>
    <t xml:space="preserve">Mực đông lạnh</t>
  </si>
  <si>
    <t xml:space="preserve">Frozen cuttlefish and squid</t>
  </si>
  <si>
    <t xml:space="preserve">Xóa thuế ngay; dòng 8 số cần chọn đúng</t>
  </si>
  <si>
    <t xml:space="preserve">0901.11</t>
  </si>
  <si>
    <t xml:space="preserve">0901 11 00</t>
  </si>
  <si>
    <t xml:space="preserve">Cà phê nhân chưa rang</t>
  </si>
  <si>
    <t xml:space="preserve">Coffee, not roasted, not decaffeinated</t>
  </si>
  <si>
    <t xml:space="preserve">09</t>
  </si>
  <si>
    <t xml:space="preserve">Nông sản</t>
  </si>
  <si>
    <t xml:space="preserve">MFN 0% → ca 'không có chênh lệch thuế', chống quảng cáo sai</t>
  </si>
  <si>
    <t xml:space="preserve">0901.21</t>
  </si>
  <si>
    <t xml:space="preserve">0901 21 00</t>
  </si>
  <si>
    <t xml:space="preserve">Cà phê rang</t>
  </si>
  <si>
    <t xml:space="preserve">Coffee, roasted, not decaffeinated</t>
  </si>
  <si>
    <t xml:space="preserve">Ca có chênh lệch thật trong nhóm cà phê</t>
  </si>
  <si>
    <t xml:space="preserve">2101.11</t>
  </si>
  <si>
    <t xml:space="preserve">2101 11 00</t>
  </si>
  <si>
    <t xml:space="preserve">Cà phê hòa tan/chiết xuất</t>
  </si>
  <si>
    <t xml:space="preserve">Extracts, essences, concentrates of coffee</t>
  </si>
  <si>
    <t xml:space="preserve">21</t>
  </si>
  <si>
    <t xml:space="preserve">Thực phẩm</t>
  </si>
  <si>
    <t xml:space="preserve">Sản phẩm SIAL điển hình</t>
  </si>
  <si>
    <t xml:space="preserve">0904.11</t>
  </si>
  <si>
    <t xml:space="preserve">0904 11 00</t>
  </si>
  <si>
    <t xml:space="preserve">Hạt tiêu chưa xay</t>
  </si>
  <si>
    <t xml:space="preserve">Pepper, neither crushed nor ground</t>
  </si>
  <si>
    <t xml:space="preserve">MFN 0% → ca không chênh lệch</t>
  </si>
  <si>
    <t xml:space="preserve">0801.32</t>
  </si>
  <si>
    <t xml:space="preserve">0801 32 00</t>
  </si>
  <si>
    <t xml:space="preserve">Hạt điều nhân</t>
  </si>
  <si>
    <t xml:space="preserve">Cashew nuts, shelled</t>
  </si>
  <si>
    <t xml:space="preserve">08</t>
  </si>
  <si>
    <t xml:space="preserve">0810.90</t>
  </si>
  <si>
    <t xml:space="preserve">0810 90 20</t>
  </si>
  <si>
    <t xml:space="preserve">Thanh long và trái cây nhiệt đới</t>
  </si>
  <si>
    <t xml:space="preserve">Pitahaya and other tropical fruit</t>
  </si>
  <si>
    <t xml:space="preserve">Hay bị truyền thông nói 'tiết kiệm thuế' — cần kiểm MFN thật</t>
  </si>
  <si>
    <t xml:space="preserve">1006.30</t>
  </si>
  <si>
    <t xml:space="preserve">1006 30 xx</t>
  </si>
  <si>
    <t xml:space="preserve">Gạo xay xát</t>
  </si>
  <si>
    <t xml:space="preserve">Semi-milled or wholly milled rice</t>
  </si>
  <si>
    <t xml:space="preserve">10</t>
  </si>
  <si>
    <t xml:space="preserve">Thuế tuyệt đối + hạn ngạch + ST25 → ca khó nhất, bắt buộc có</t>
  </si>
  <si>
    <t xml:space="preserve">Khó (TRQ, thuế tuyệt đối)</t>
  </si>
  <si>
    <t xml:space="preserve">1905.90</t>
  </si>
  <si>
    <t xml:space="preserve">1905 90 xx</t>
  </si>
  <si>
    <t xml:space="preserve">Bánh, bánh tráng, sản phẩm nướng</t>
  </si>
  <si>
    <t xml:space="preserve">Bread, pastry, cakes, other</t>
  </si>
  <si>
    <t xml:space="preserve">19</t>
  </si>
  <si>
    <t xml:space="preserve">Thuế hỗn hợp (EA) → kiểm tra hành vi 'cần kiểm thêm'</t>
  </si>
  <si>
    <t xml:space="preserve">Khó (thuế hỗn hợp)</t>
  </si>
  <si>
    <t xml:space="preserve">6109.10</t>
  </si>
  <si>
    <t xml:space="preserve">6109 10 00</t>
  </si>
  <si>
    <t xml:space="preserve">Áo phông cotton dệt kim</t>
  </si>
  <si>
    <t xml:space="preserve">T-shirts, singlets, knitted, of cotton</t>
  </si>
  <si>
    <t xml:space="preserve">61</t>
  </si>
  <si>
    <t xml:space="preserve">Dệt may</t>
  </si>
  <si>
    <t xml:space="preserve">Quy tắc công đoạn, cộng gộp vải Hàn Quốc</t>
  </si>
  <si>
    <t xml:space="preserve">Khó (PSR công đoạn)</t>
  </si>
  <si>
    <t xml:space="preserve">6203.42</t>
  </si>
  <si>
    <t xml:space="preserve">6203 42 xx</t>
  </si>
  <si>
    <t xml:space="preserve">Quần nam cotton dệt thoi</t>
  </si>
  <si>
    <t xml:space="preserve">Men's trousers, of cotton</t>
  </si>
  <si>
    <t xml:space="preserve">62</t>
  </si>
  <si>
    <t xml:space="preserve">Quy tắc 'từ vải trở đi' điển hình</t>
  </si>
  <si>
    <t xml:space="preserve">6403.99</t>
  </si>
  <si>
    <t xml:space="preserve">6403 99 xx</t>
  </si>
  <si>
    <t xml:space="preserve">Giày mũ da, khác</t>
  </si>
  <si>
    <t xml:space="preserve">Footwear with leather uppers, other</t>
  </si>
  <si>
    <t xml:space="preserve">64</t>
  </si>
  <si>
    <t xml:space="preserve">Da giày</t>
  </si>
  <si>
    <t xml:space="preserve">Da giày dùng C/O gần 100%</t>
  </si>
  <si>
    <t xml:space="preserve">6404.11</t>
  </si>
  <si>
    <t xml:space="preserve">6404 11 00</t>
  </si>
  <si>
    <t xml:space="preserve">Giày thể thao mũ vải</t>
  </si>
  <si>
    <t xml:space="preserve">Sports footwear, textile uppers</t>
  </si>
  <si>
    <t xml:space="preserve">Thuế MFN cao; kiểm lộ trình</t>
  </si>
  <si>
    <t xml:space="preserve">9403.60</t>
  </si>
  <si>
    <t xml:space="preserve">9403 60 xx</t>
  </si>
  <si>
    <t xml:space="preserve">Đồ nội thất gỗ</t>
  </si>
  <si>
    <t xml:space="preserve">Other wooden furniture</t>
  </si>
  <si>
    <t xml:space="preserve">94</t>
  </si>
  <si>
    <t xml:space="preserve">Gỗ</t>
  </si>
  <si>
    <t xml:space="preserve">MFN 0% → ca không chênh lệch; ngành xuất khẩu lớn</t>
  </si>
  <si>
    <t xml:space="preserve">hs_code</t>
  </si>
  <si>
    <t xml:space="preserve">cn8</t>
  </si>
  <si>
    <t xml:space="preserve">destination</t>
  </si>
  <si>
    <t xml:space="preserve">duty_type</t>
  </si>
  <si>
    <t xml:space="preserve">base_rate_pct (MFN cơ sở)</t>
  </si>
  <si>
    <t xml:space="preserve">staging_category</t>
  </si>
  <si>
    <t xml:space="preserve">evfta_rate_2026_pct (tự tính)</t>
  </si>
  <si>
    <t xml:space="preserve">savings_pct_points (tự tính)</t>
  </si>
  <si>
    <t xml:space="preserve">zero_from</t>
  </si>
  <si>
    <t xml:space="preserve">quota_required</t>
  </si>
  <si>
    <t xml:space="preserve">condition_note</t>
  </si>
  <si>
    <t xml:space="preserve">source</t>
  </si>
  <si>
    <t xml:space="preserve">confidence</t>
  </si>
  <si>
    <t xml:space="preserve">valid_from</t>
  </si>
  <si>
    <t xml:space="preserve">valid_until</t>
  </si>
  <si>
    <t xml:space="preserve">0306 17 91–99</t>
  </si>
  <si>
    <t xml:space="preserve">EU-27</t>
  </si>
  <si>
    <t xml:space="preserve">ad_valorem</t>
  </si>
  <si>
    <t xml:space="preserve">A</t>
  </si>
  <si>
    <t xml:space="preserve">FALSE</t>
  </si>
  <si>
    <t xml:space="preserve">Dòng 0306 17 10 có mức cơ sở khác — không gộp</t>
  </si>
  <si>
    <t xml:space="preserve">Bộ Công Thương (moit.gov.vn) — cam kết thuế thủy sản EVFTA</t>
  </si>
  <si>
    <t xml:space="preserve">2026-01-01</t>
  </si>
  <si>
    <t xml:space="preserve">2026-12-31</t>
  </si>
  <si>
    <t xml:space="preserve">B7</t>
  </si>
  <si>
    <t xml:space="preserve">Nếu đúng B7: 2026 còn 1/8 cơ sở, 0% từ 1/1/2027</t>
  </si>
  <si>
    <t xml:space="preserve">Cẩm nang thủy sản Bộ Công Thương 2024 (mức 20% → 0%); lộ trình cần tra 2-A-1</t>
  </si>
  <si>
    <t xml:space="preserve">B</t>
  </si>
  <si>
    <t xml:space="preserve">Như 1605.21</t>
  </si>
  <si>
    <t xml:space="preserve">C</t>
  </si>
  <si>
    <t xml:space="preserve">B3</t>
  </si>
  <si>
    <t xml:space="preserve">Đã 0% từ 2023 nếu đúng B3</t>
  </si>
  <si>
    <t xml:space="preserve">Thông tin lộ trình cá tra 3–7 năm (Bộ Công Thương); mức/nhóm cần tra</t>
  </si>
  <si>
    <t xml:space="preserve">Lộ trình '3 năm' (truyền thông) = nhóm B3 (4 đợt)</t>
  </si>
  <si>
    <t xml:space="preserve">Bộ Công Thương — thủy sản EVFTA</t>
  </si>
  <si>
    <t xml:space="preserve">TRQ</t>
  </si>
  <si>
    <t xml:space="preserve">0% trong hạn ngạch 11.500 tấn/năm; ngoài hạn ngạch = MFN. Công cụ phải trả 'cần kiểm thêm'</t>
  </si>
  <si>
    <t xml:space="preserve">Chọn đúng dòng 8 số (Loligo khác mức)</t>
  </si>
  <si>
    <t xml:space="preserve">Bộ Công Thương (mực: xóa thuế ngay); MFN cần tra</t>
  </si>
  <si>
    <t xml:space="preserve">MFN 0% → tiết kiệm = 0; công cụ phải nói rõ</t>
  </si>
  <si>
    <t xml:space="preserve">CN/TARIC — cần tra</t>
  </si>
  <si>
    <t xml:space="preserve">Nhóm lộ trình chưa xác định</t>
  </si>
  <si>
    <t xml:space="preserve">CN/TARIC + 2-A-1 — cần tra</t>
  </si>
  <si>
    <t xml:space="preserve">MFN 0% → tiết kiệm = 0</t>
  </si>
  <si>
    <t xml:space="preserve">Nếu MFN 0% thì câu 'thanh long được giảm thuế nhờ EVFTA' là sai — kiểm kỹ</t>
  </si>
  <si>
    <t xml:space="preserve">specific</t>
  </si>
  <si>
    <t xml:space="preserve">MFN tính theo EUR/tấn. Hạn ngạch tổng 80.000 tấn/năm; gạo thơm chỉ các giống liệt kê — ST25 không thuộc danh sách theo ghi nhận hiện có. Công cụ KHÔNG ra 0%</t>
  </si>
  <si>
    <t xml:space="preserve">USDA FAS (80.000 tấn); danh sách giống: 2-A-1 + NĐ 103/2020</t>
  </si>
  <si>
    <t xml:space="preserve">mixed</t>
  </si>
  <si>
    <t xml:space="preserve">Thuế hỗn hợp (ad valorem + thành phần nông nghiệp EA) → 'cần kiểm thêm'</t>
  </si>
  <si>
    <t xml:space="preserve">Nhóm lộ trình chưa xác định — không đoán</t>
  </si>
  <si>
    <t xml:space="preserve">Thuế cơ sở may mặc 12% (Tạp chí Kinh tế &amp; Dự báo); lộ trình cần tra 2-A-1</t>
  </si>
  <si>
    <t xml:space="preserve">Một số dòng 6403 99 có mức khác</t>
  </si>
  <si>
    <t xml:space="preserve">category</t>
  </si>
  <si>
    <t xml:space="preserve">số đợt cắt giảm</t>
  </si>
  <si>
    <t xml:space="preserve">ý nghĩa</t>
  </si>
  <si>
    <t xml:space="preserve">năm chỉ số 2026</t>
  </si>
  <si>
    <t xml:space="preserve">4 đợt bằng nhau từ ngày hiệu lực → 0% từ 1/1/2023</t>
  </si>
  <si>
    <t xml:space="preserve">B5</t>
  </si>
  <si>
    <t xml:space="preserve">6 đợt → 0% từ 1/1/2025</t>
  </si>
  <si>
    <t xml:space="preserve">8 đợt → 0% từ 1/1/2027</t>
  </si>
  <si>
    <t xml:space="preserve">Xóa bỏ ngay 1/8/2020</t>
  </si>
  <si>
    <t xml:space="preserve">Nguồn: EVFTA Phụ lục 2-A, đoạn định nghĩa nhóm lộ trình (data.consilium.europa.eu ST-6051-2019-ADD-1). Năm 1 = 2020.</t>
  </si>
  <si>
    <t xml:space="preserve">rule_type (WO/CTH/CTH_EXCEPT/MaxNOM/PROCESS)</t>
  </si>
  <si>
    <t xml:space="preserve">threshold_pct</t>
  </si>
  <si>
    <t xml:space="preserve">rule_text_vi</t>
  </si>
  <si>
    <t xml:space="preserve">requires_expert</t>
  </si>
  <si>
    <t xml:space="preserve">tolerance</t>
  </si>
  <si>
    <t xml:space="preserve">WO</t>
  </si>
  <si>
    <t xml:space="preserve">Toàn bộ nguyên liệu thuộc Chương 3 phải có xuất xứ thuần túy (tôm nuôi/đánh bắt tại VN hoặc EU).</t>
  </si>
  <si>
    <t xml:space="preserve">Không (WO)</t>
  </si>
  <si>
    <t xml:space="preserve">EVFTA Nghị định thư 1, Phụ lục II (nhóm 0306); TT 11/2020/TT-BCT (hợp nhất 25/VBHN-BCT), phụ lục quy tắc cụ thể mặt hàng</t>
  </si>
  <si>
    <t xml:space="preserve">Toàn bộ nguyên liệu thuộc Chương 3 sử dụng phải có xuất xứ thuần túy. Tôm nhập từ nước thứ ba → không đạt.</t>
  </si>
  <si>
    <t xml:space="preserve">Không</t>
  </si>
  <si>
    <t xml:space="preserve">EVFTA Nghị định thư 1, Phụ lục II (nhóm 1605); TT 11/2020/TT-BCT (hợp nhất 25/VBHN-BCT), phụ lục quy tắc cụ thể mặt hàng</t>
  </si>
  <si>
    <t xml:space="preserve">Toàn bộ nguyên liệu Chương 3 thuần túy.</t>
  </si>
  <si>
    <t xml:space="preserve">EVFTA Nghị định thư 1, Phụ lục II (nhóm 0304); TT 11/2020/TT-BCT (hợp nhất 25/VBHN-BCT), phụ lục quy tắc cụ thể mặt hàng</t>
  </si>
  <si>
    <t xml:space="preserve">Như trên; cá đánh bắt ngoài lãnh hải cần điều kiện tàu (đăng ký, treo cờ, sở hữu) — NĐT1 Điều 4.</t>
  </si>
  <si>
    <t xml:space="preserve">TRUE nếu đánh bắt xa bờ</t>
  </si>
  <si>
    <t xml:space="preserve">Nguyên liệu Chương 3 thuần túy; điều kiện tàu như trên.</t>
  </si>
  <si>
    <t xml:space="preserve">TRUE (điều kiện tàu + TRQ)</t>
  </si>
  <si>
    <t xml:space="preserve">EVFTA Nghị định thư 1, Phụ lục II (nhóm 1604); TT 11/2020/TT-BCT (hợp nhất 25/VBHN-BCT), phụ lục quy tắc cụ thể mặt hàng</t>
  </si>
  <si>
    <t xml:space="preserve">EVFTA Nghị định thư 1, Phụ lục II (nhóm 0307); TT 11/2020/TT-BCT (hợp nhất 25/VBHN-BCT), phụ lục quy tắc cụ thể mặt hàng</t>
  </si>
  <si>
    <t xml:space="preserve">Sản phẩm nông nghiệp thu hoạch tại VN.</t>
  </si>
  <si>
    <t xml:space="preserve">EVFTA Nghị định thư 1, Phụ lục II (nhóm 0901); TT 11/2020/TT-BCT (hợp nhất 25/VBHN-BCT), phụ lục quy tắc cụ thể mặt hàng</t>
  </si>
  <si>
    <t xml:space="preserve">CẦN TRA</t>
  </si>
  <si>
    <t xml:space="preserve">Chưa xác định quy tắc cho cà phê rang (WO nguyên liệu Ch.9 hay CTH). Không cho công cụ kết luận đến khi tra nguyên văn Phụ lục II.</t>
  </si>
  <si>
    <t xml:space="preserve">—</t>
  </si>
  <si>
    <t xml:space="preserve">Chưa xác định (thường là CTH có điều kiện). Tra nguyên văn.</t>
  </si>
  <si>
    <t xml:space="preserve">EVFTA Nghị định thư 1, Phụ lục II (nhóm 2101); TT 11/2020/TT-BCT (hợp nhất 25/VBHN-BCT), phụ lục quy tắc cụ thể mặt hàng</t>
  </si>
  <si>
    <t xml:space="preserve">Hạt tiêu trồng và thu hoạch tại VN. Tiêu nhập khẩu rồi phân loại/đóng gói lại = gia công đơn giản, không đạt.</t>
  </si>
  <si>
    <t xml:space="preserve">EVFTA Nghị định thư 1, Phụ lục II (nhóm 0904); TT 11/2020/TT-BCT (hợp nhất 25/VBHN-BCT), phụ lục quy tắc cụ thể mặt hàng</t>
  </si>
  <si>
    <t xml:space="preserve">Điều thô nhập từ châu Phi rồi bóc vỏ tại VN: cần tra quy tắc Ch.8 có yêu cầu nguyên liệu Ch.8 thuần túy không — rủi ro cao, ngành phụ thuộc điều thô nhập khẩu.</t>
  </si>
  <si>
    <t xml:space="preserve">EVFTA Nghị định thư 1, Phụ lục II (nhóm 0801); TT 11/2020/TT-BCT (hợp nhất 25/VBHN-BCT), phụ lục quy tắc cụ thể mặt hàng</t>
  </si>
  <si>
    <t xml:space="preserve">Trái cây trồng và thu hoạch tại VN.</t>
  </si>
  <si>
    <t xml:space="preserve">EVFTA Nghị định thư 1, Phụ lục II (nhóm 0810); TT 11/2020/TT-BCT (hợp nhất 25/VBHN-BCT), phụ lục quy tắc cụ thể mặt hàng</t>
  </si>
  <si>
    <t xml:space="preserve">Nguyên liệu Chương 10 thuần túy (lúa trồng tại VN).</t>
  </si>
  <si>
    <t xml:space="preserve">EVFTA Nghị định thư 1, Phụ lục II (nhóm 1006); TT 11/2020/TT-BCT (hợp nhất 25/VBHN-BCT), phụ lục quy tắc cụ thể mặt hàng</t>
  </si>
  <si>
    <t xml:space="preserve">Quy tắc thường kèm giới hạn nguyên liệu Ch.4/10/11/17 — tra nguyên văn.</t>
  </si>
  <si>
    <t xml:space="preserve">EVFTA Nghị định thư 1, Phụ lục II (nhóm 1905); TT 11/2020/TT-BCT (hợp nhất 25/VBHN-BCT), phụ lục quy tắc cụ thể mặt hàng</t>
  </si>
  <si>
    <t xml:space="preserve">PROCESS</t>
  </si>
  <si>
    <t xml:space="preserve">Dệt kim + may (cắt may) tại VN; sợi được phép không có xuất xứ ('từ vải trở đi'). Cộng gộp vải Hàn Quốc cho Ch.61–62.</t>
  </si>
  <si>
    <t xml:space="preserve">TRUE (quy tắc công đoạn)</t>
  </si>
  <si>
    <t xml:space="preserve">Theo trọng lượng — Ghi chú Phụ lục II</t>
  </si>
  <si>
    <t xml:space="preserve">A/B</t>
  </si>
  <si>
    <t xml:space="preserve">EVFTA Nghị định thư 1, Phụ lục II (nhóm 6109); TT 11/2020/TT-BCT (hợp nhất 25/VBHN-BCT), phụ lục quy tắc cụ thể mặt hàng</t>
  </si>
  <si>
    <t xml:space="preserve">Dệt vải + cắt may tại VN/EU (hoặc vải Hàn Quốc được cộng gộp). Vải Trung Quốc → không đạt.</t>
  </si>
  <si>
    <t xml:space="preserve">Theo trọng lượng</t>
  </si>
  <si>
    <t xml:space="preserve">EVFTA Nghị định thư 1, Phụ lục II (nhóm 6203); TT 11/2020/TT-BCT (hợp nhất 25/VBHN-BCT), phụ lục quy tắc cụ thể mặt hàng</t>
  </si>
  <si>
    <t xml:space="preserve">CTH_EXCEPT</t>
  </si>
  <si>
    <t xml:space="preserve">Sản xuất từ nguyên liệu thuộc bất kỳ nhóm nào, trừ bộ mũ giày đã gắn đế trong hoặc bộ phận đế khác thuộc nhóm 6406. Đối chiếu nguyên văn.</t>
  </si>
  <si>
    <t xml:space="preserve">FALSE (checklist 1 câu hỏi)</t>
  </si>
  <si>
    <t xml:space="preserve">Có — chung</t>
  </si>
  <si>
    <t xml:space="preserve">EVFTA Nghị định thư 1, Phụ lục II (nhóm 6403); TT 11/2020/TT-BCT (hợp nhất 25/VBHN-BCT), phụ lục quy tắc cụ thể mặt hàng</t>
  </si>
  <si>
    <t xml:space="preserve">Như 6403.99</t>
  </si>
  <si>
    <t xml:space="preserve">FALSE (checklist)</t>
  </si>
  <si>
    <t xml:space="preserve">EVFTA Nghị định thư 1, Phụ lục II (nhóm 6404); TT 11/2020/TT-BCT (hợp nhất 25/VBHN-BCT), phụ lục quy tắc cụ thể mặt hàng</t>
  </si>
  <si>
    <t xml:space="preserve">Có thể là CTH hoặc MaxNOM — tra nguyên văn trước khi cho tính %.</t>
  </si>
  <si>
    <t xml:space="preserve">EVFTA Nghị định thư 1, Phụ lục II (nhóm 9403); TT 11/2020/TT-BCT (hợp nhất 25/VBHN-BCT), phụ lục quy tắc cụ thể mặt hàng</t>
  </si>
  <si>
    <t xml:space="preserve">id</t>
  </si>
  <si>
    <t xml:space="preserve">tình huống</t>
  </si>
  <si>
    <t xml:space="preserve">dữ liệu nhập</t>
  </si>
  <si>
    <t xml:space="preserve">kết quả kỳ vọng của công cụ</t>
  </si>
  <si>
    <t xml:space="preserve">lý giải / điểm người duyệt xác nhận</t>
  </si>
  <si>
    <t xml:space="preserve">TC01</t>
  </si>
  <si>
    <t xml:space="preserve">Tôm thẻ nuôi tại Cà Mau, sơ chế đông lạnh tại VN; bao bì nhập TQ</t>
  </si>
  <si>
    <t xml:space="preserve">Giá xuất xưởng 10.000 USD; nguyên liệu Ch.3: 100% VN</t>
  </si>
  <si>
    <t xml:space="preserve">Đạt</t>
  </si>
  <si>
    <t xml:space="preserve">WO đạt; bao bì bán lẻ không xét khi xác định xuất xứ nếu phân loại cùng hàng (xác nhận điều khoản)</t>
  </si>
  <si>
    <t xml:space="preserve">TC02</t>
  </si>
  <si>
    <t xml:space="preserve">Tôm nguyên liệu nhập từ Ấn Độ, bóc vỏ và cấp đông tại VN</t>
  </si>
  <si>
    <t xml:space="preserve">Nguyên liệu Ch.3: 100% Ấn Độ</t>
  </si>
  <si>
    <t xml:space="preserve">Không đạt</t>
  </si>
  <si>
    <t xml:space="preserve">Nguyên liệu Ch.3 không thuần túy</t>
  </si>
  <si>
    <t xml:space="preserve">TC03</t>
  </si>
  <si>
    <t xml:space="preserve">Tôm hấp tẩm bột, tôm nhập Ecuador 60%, tôm VN 40%</t>
  </si>
  <si>
    <t xml:space="preserve">60% nguyên liệu Ch.3 không xuất xứ</t>
  </si>
  <si>
    <t xml:space="preserve">WO không áp dụng dung sai cho nguyên liệu chính — xác nhận</t>
  </si>
  <si>
    <t xml:space="preserve">TC04</t>
  </si>
  <si>
    <t xml:space="preserve">Cá ngừ đóng hộp, cá do tàu cờ VN đánh bắt ngoài vùng đặc quyền kinh tế</t>
  </si>
  <si>
    <t xml:space="preserve">Chưa có dữ liệu điều kiện tàu</t>
  </si>
  <si>
    <t xml:space="preserve">Chưa kết luận</t>
  </si>
  <si>
    <t xml:space="preserve">Phụ thuộc điều kiện tàu NĐT1 Điều 4; kèm cảnh báo hạn ngạch</t>
  </si>
  <si>
    <t xml:space="preserve">TC05</t>
  </si>
  <si>
    <t xml:space="preserve">Cà phê nhân Đắk Lắk</t>
  </si>
  <si>
    <t xml:space="preserve">100% VN</t>
  </si>
  <si>
    <t xml:space="preserve">WO; nhưng tiết kiệm thuế = 0 (MFN 0%)</t>
  </si>
  <si>
    <t xml:space="preserve">TC06</t>
  </si>
  <si>
    <t xml:space="preserve">Cà phê rang tại VN từ hạt Brazil</t>
  </si>
  <si>
    <t xml:space="preserve">100% nguyên liệu Ch.9 không xuất xứ</t>
  </si>
  <si>
    <t xml:space="preserve">PSR chưa tra (requires_expert = TRUE)</t>
  </si>
  <si>
    <t xml:space="preserve">TC07</t>
  </si>
  <si>
    <t xml:space="preserve">Áo phông dệt kim tại VN từ sợi TQ, cắt may tại VN</t>
  </si>
  <si>
    <t xml:space="preserve">Sợi 100% TQ</t>
  </si>
  <si>
    <t xml:space="preserve">Quy tắc công đoạn → công cụ không tự kết luận; theo luật dự kiến đạt</t>
  </si>
  <si>
    <t xml:space="preserve">TC08</t>
  </si>
  <si>
    <t xml:space="preserve">Quần dệt thoi, vải nhập TQ, cắt may tại VN</t>
  </si>
  <si>
    <t xml:space="preserve">Vải 100% TQ</t>
  </si>
  <si>
    <t xml:space="preserve">Công cụ không kết luận; theo luật dự kiến không đạt</t>
  </si>
  <si>
    <t xml:space="preserve">TC09</t>
  </si>
  <si>
    <t xml:space="preserve">Giày da, đế và da nhập TQ (nhóm 4107, 6406 riêng lẻ), lắp ráp mũ vào đế tại VN</t>
  </si>
  <si>
    <t xml:space="preserve">Không dùng bộ mũ giày đã gắn đế</t>
  </si>
  <si>
    <t xml:space="preserve">CTH_EXCEPT: câu hỏi 'có dùng mũ giày đã gắn đế trong nhập khẩu?' = Không</t>
  </si>
  <si>
    <t xml:space="preserve">TC10</t>
  </si>
  <si>
    <t xml:space="preserve">Giày thể thao, nhập bộ mũ giày đã gắn đế trong từ TQ, chỉ gắn đế ngoài tại VN</t>
  </si>
  <si>
    <t xml:space="preserve">Dùng hàng 6406 bị loại trừ</t>
  </si>
  <si>
    <t xml:space="preserve">CTH_EXCEPT vi phạm</t>
  </si>
  <si>
    <t xml:space="preserve">ô</t>
  </si>
  <si>
    <t xml:space="preserve">tên ô (VI)</t>
  </si>
  <si>
    <t xml:space="preserve">tên ô (EN)</t>
  </si>
  <si>
    <t xml:space="preserve">nguồn dữ liệu evfta.eu</t>
  </si>
  <si>
    <t xml:space="preserve">bắt buộc</t>
  </si>
  <si>
    <t xml:space="preserve">quy tắc / cảnh báo</t>
  </si>
  <si>
    <t xml:space="preserve">Người xuất khẩu (tên, địa chỉ, nước)</t>
  </si>
  <si>
    <t xml:space="preserve">Exporter</t>
  </si>
  <si>
    <t xml:space="preserve">companies.legal_name + address + country</t>
  </si>
  <si>
    <t xml:space="preserve">Bắt buộc</t>
  </si>
  <si>
    <t xml:space="preserve">Giấy chứng nhận dùng trong thương mại ưu đãi giữa … và …</t>
  </si>
  <si>
    <t xml:space="preserve">Certificate used in preferential trade between</t>
  </si>
  <si>
    <t xml:space="preserve">Cố định: VIET NAM and THE EUROPEAN UNION</t>
  </si>
  <si>
    <t xml:space="preserve">Người duyệt xác nhận cách ghi theo mẫu TT 11/2020</t>
  </si>
  <si>
    <t xml:space="preserve">Người nhận hàng (không bắt buộc)</t>
  </si>
  <si>
    <t xml:space="preserve">Consignee</t>
  </si>
  <si>
    <t xml:space="preserve">rfq/buyer company hoặc nhập tay</t>
  </si>
  <si>
    <t xml:space="preserve">Tùy chọn</t>
  </si>
  <si>
    <t xml:space="preserve">Nước/nhóm nước/lãnh thổ xuất xứ</t>
  </si>
  <si>
    <t xml:space="preserve">Country of origin</t>
  </si>
  <si>
    <t xml:space="preserve">compliance_checks.origin_country (Viet Nam)</t>
  </si>
  <si>
    <t xml:space="preserve">Chỉ điền khi C4 = Đạt</t>
  </si>
  <si>
    <t xml:space="preserve">Nước nhập khẩu</t>
  </si>
  <si>
    <t xml:space="preserve">Country of destination</t>
  </si>
  <si>
    <t xml:space="preserve">compliance_checks.destination_country</t>
  </si>
  <si>
    <t xml:space="preserve">Chi tiết vận tải (không bắt buộc)</t>
  </si>
  <si>
    <t xml:space="preserve">Transport details</t>
  </si>
  <si>
    <t xml:space="preserve">Nhập tay</t>
  </si>
  <si>
    <t xml:space="preserve">Ghi chú</t>
  </si>
  <si>
    <t xml:space="preserve">Remarks</t>
  </si>
  <si>
    <t xml:space="preserve">Để trống; hệ thống không tự ghi 'ISSUED RETROSPECTIVELY'/'DUPLICATE'</t>
  </si>
  <si>
    <t xml:space="preserve">Chỉ cơ quan cấp mới ghi các cụm này</t>
  </si>
  <si>
    <t xml:space="preserve">Số thứ tự; ký hiệu, số lượng, loại kiện; mô tả hàng</t>
  </si>
  <si>
    <t xml:space="preserve">Item number; marks and numbers; description of goods</t>
  </si>
  <si>
    <t xml:space="preserve">products.name + hs_code + quantity + packages</t>
  </si>
  <si>
    <t xml:space="preserve">Gạch chéo phần trống sau mô tả</t>
  </si>
  <si>
    <t xml:space="preserve">Trọng lượng cả bì hoặc đơn vị đo khác</t>
  </si>
  <si>
    <t xml:space="preserve">Gross mass or other measure</t>
  </si>
  <si>
    <t xml:space="preserve">Nhập tay từ hóa đơn/phiếu đóng gói</t>
  </si>
  <si>
    <t xml:space="preserve">Hóa đơn (không bắt buộc)</t>
  </si>
  <si>
    <t xml:space="preserve">Invoices</t>
  </si>
  <si>
    <t xml:space="preserve">invoice_no + date</t>
  </si>
  <si>
    <t xml:space="preserve">Hóa đơn bên thứ ba: ghi chú theo TT 11/2020</t>
  </si>
  <si>
    <t xml:space="preserve">Xác nhận của cơ quan cấp</t>
  </si>
  <si>
    <t xml:space="preserve">Customs or competent authority endorsement</t>
  </si>
  <si>
    <t xml:space="preserve">LUÔN ĐỂ TRỐNG</t>
  </si>
  <si>
    <t xml:space="preserve">Không điền</t>
  </si>
  <si>
    <t xml:space="preserve">Hệ thống không được điền — ranh giới pháp lý</t>
  </si>
  <si>
    <t xml:space="preserve">Khai báo của người xuất khẩu (nơi, ngày, chữ ký)</t>
  </si>
  <si>
    <t xml:space="preserve">Declaration by the exporter</t>
  </si>
  <si>
    <t xml:space="preserve">Nơi + ngày; chữ ký để trống</t>
  </si>
  <si>
    <t xml:space="preserve">Bắt buộc (ký tay/số bởi DN)</t>
  </si>
  <si>
    <t xml:space="preserve">Ghi chú Q8</t>
  </si>
  <si>
    <t xml:space="preserve">Bố cục chuẩn EUR.1 (12 ô). File mẫu chính thức lấy từ phụ lục mẫu C/O EUR.1 của TT 11/2020/TT-BCT (bản hợp nhất) và NĐT1 EVFTA — người duyệt tải bản gốc để dev dựng layout PDF. Watermark 'DRAFT — for review before submission to issuing authority' mọi trang; ghi rõ cơ quan cấp: tổ chức được Bộ Công Thương ủy quyền.</t>
  </si>
  <si>
    <t xml:space="preserve">doc_id</t>
  </si>
  <si>
    <t xml:space="preserve">title</t>
  </si>
  <si>
    <t xml:space="preserve">phạm vi dùng</t>
  </si>
  <si>
    <t xml:space="preserve">vai trò / ghi chú</t>
  </si>
  <si>
    <t xml:space="preserve">đã tải về</t>
  </si>
  <si>
    <t xml:space="preserve">DOC01</t>
  </si>
  <si>
    <t xml:space="preserve">Hiệp định EVFTA — Nghị định thư 1 (Quy tắc xuất xứ và hợp tác hành chính)</t>
  </si>
  <si>
    <t xml:space="preserve">EUR-Lex, OJ L 186, 12/6/2020 (bản EN); bản VI: Bộ Công Thương</t>
  </si>
  <si>
    <t xml:space="preserve">Toàn văn + Phụ lục II (PSR), mẫu EUR.1, mẫu khai báo xuất xứ</t>
  </si>
  <si>
    <t xml:space="preserve">2020-08-01</t>
  </si>
  <si>
    <t xml:space="preserve">Nguồn chính — ưu tiên 1</t>
  </si>
  <si>
    <t xml:space="preserve">DOC02</t>
  </si>
  <si>
    <t xml:space="preserve">EVFTA Phụ lục 2-A + Biểu cam kết của EU (2-A-1)</t>
  </si>
  <si>
    <t xml:space="preserve">data.consilium.europa.eu ST-6051-2019-ADD-1</t>
  </si>
  <si>
    <t xml:space="preserve">Định nghĩa nhóm lộ trình, hạn ngạch (gạo, cá ngừ, surimi…)</t>
  </si>
  <si>
    <t xml:space="preserve">Nguồn chính</t>
  </si>
  <si>
    <t xml:space="preserve">DOC03</t>
  </si>
  <si>
    <t xml:space="preserve">Thông tư 11/2020/TT-BCT, hợp nhất 25/VBHN-BCT (gồm sửa đổi TT 41/2022/TT-BCT)</t>
  </si>
  <si>
    <t xml:space="preserve">thuvienphapluat.vn / vbpl.vn</t>
  </si>
  <si>
    <t xml:space="preserve">Quy tắc xuất xứ tại VN, thủ tục cấp C/O, 8 phụ lục</t>
  </si>
  <si>
    <t xml:space="preserve">2023-02-20 (bản hợp nhất)</t>
  </si>
  <si>
    <t xml:space="preserve">Nguồn chính — dùng bản hợp nhất, không dùng bản gốc</t>
  </si>
  <si>
    <t xml:space="preserve">DOC04</t>
  </si>
  <si>
    <t xml:space="preserve">Nghị định 103/2020/NĐ-CP (chứng nhận gạo thơm xuất khẩu sang EU)</t>
  </si>
  <si>
    <t xml:space="preserve">vbpl.vn</t>
  </si>
  <si>
    <t xml:space="preserve">Điều kiện hạn ngạch gạo thơm</t>
  </si>
  <si>
    <t xml:space="preserve">2020</t>
  </si>
  <si>
    <t xml:space="preserve">Cần kiểm còn hiệu lực</t>
  </si>
  <si>
    <t xml:space="preserve">DOC05</t>
  </si>
  <si>
    <t xml:space="preserve">Biểu thuế chung EU (Danh mục CN) năm 2026 + TARIC</t>
  </si>
  <si>
    <t xml:space="preserve">EUR-Lex (quy định thực thi CN hằng năm); ec.europa.eu/taxation_customs TARIC</t>
  </si>
  <si>
    <t xml:space="preserve">Mức MFN 2026</t>
  </si>
  <si>
    <t xml:space="preserve">Số hiệu quy định CN 2026 cần tra</t>
  </si>
  <si>
    <t xml:space="preserve">DOC06</t>
  </si>
  <si>
    <t xml:space="preserve">Hướng dẫn quy tắc xuất xứ EVFTA của Ủy ban châu Âu</t>
  </si>
  <si>
    <t xml:space="preserve">EC — DG TAXUD / Access2Markets</t>
  </si>
  <si>
    <t xml:space="preserve">Giải thích thực tế phía EU</t>
  </si>
  <si>
    <t xml:space="preserve">Lớp tham khảo, không phải nguồn chính</t>
  </si>
  <si>
    <t xml:space="preserve">DOC07</t>
  </si>
  <si>
    <t xml:space="preserve">Tóm tắt Nghị định thư 1 EVFTA — Trung tâm WTO (VCCI)</t>
  </si>
  <si>
    <t xml:space="preserve">wtocenter.vn/file/18298</t>
  </si>
  <si>
    <t xml:space="preserve">Dùng cho FAQ tiếng Việt</t>
  </si>
  <si>
    <t xml:space="preserve">Lớp tham khảo</t>
  </si>
  <si>
    <t xml:space="preserve">DOC08</t>
  </si>
  <si>
    <t xml:space="preserve">Tóm tắt Chương 2 EVFTA (thuế quan) — Trung tâm WTO</t>
  </si>
  <si>
    <t xml:space="preserve">wtocenter.vn/file/18282</t>
  </si>
  <si>
    <t xml:space="preserve">FAQ thuế</t>
  </si>
  <si>
    <t xml:space="preserve">DOC09</t>
  </si>
  <si>
    <t xml:space="preserve">Cẩm nang xuất khẩu thủy sản vào EU — Bộ Công Thương (2024)</t>
  </si>
  <si>
    <t xml:space="preserve">goglobal.moit.gov.vn</t>
  </si>
  <si>
    <t xml:space="preserve">Lộ trình thuế thủy sản</t>
  </si>
  <si>
    <t xml:space="preserve">2024</t>
  </si>
  <si>
    <t xml:space="preserve">DOC10</t>
  </si>
  <si>
    <t xml:space="preserve">Văn bản hiện hành về tự chứng nhận xuất xứ / nhà xuất khẩu đủ điều kiện (phía VN)</t>
  </si>
  <si>
    <t xml:space="preserve">Cần tìm</t>
  </si>
  <si>
    <t xml:space="preserve">Trả lời câu hỏi lô ≤ 6.000 EUR</t>
  </si>
  <si>
    <t xml:space="preserve">CHƯA XÁC ĐỊNH — xem cau_hoi_mo #1</t>
  </si>
  <si>
    <t xml:space="preserve">#</t>
  </si>
  <si>
    <t xml:space="preserve">câu hỏi</t>
  </si>
  <si>
    <t xml:space="preserve">hiện trạng</t>
  </si>
  <si>
    <t xml:space="preserve">ảnh hưởng</t>
  </si>
  <si>
    <t xml:space="preserve">ưu tiên</t>
  </si>
  <si>
    <t xml:space="preserve">kết luận người duyệt</t>
  </si>
  <si>
    <t xml:space="preserve">Tự chứng nhận lô ≤ 6.000 EUR (chiều VN → EU)</t>
  </si>
  <si>
    <t xml:space="preserve">Backlog ghi là được. Deloitte (2020): phía VN chưa triển khai tự chứng nhận, chỉ dùng EUR.1. Cần văn bản hiện hành.</t>
  </si>
  <si>
    <t xml:space="preserve">C6, C5, copilot Q20</t>
  </si>
  <si>
    <t xml:space="preserve">Cao</t>
  </si>
  <si>
    <t xml:space="preserve">Nhóm lộ trình cho 2101.11, 6109.10, 6203.42, 6403.99, 6404.11</t>
  </si>
  <si>
    <t xml:space="preserve">Để trống, không đoán. Tra Biểu 2-A-1.</t>
  </si>
  <si>
    <t xml:space="preserve">C1, C2</t>
  </si>
  <si>
    <t xml:space="preserve">Quy tắc làm tròn mức thuế trung gian (B7 năm 2026)</t>
  </si>
  <si>
    <t xml:space="preserve">Ảnh hưởng số tiền hiển thị.</t>
  </si>
  <si>
    <t xml:space="preserve">C2</t>
  </si>
  <si>
    <t xml:space="preserve">PSR nguyên văn cho 0901.21, 2101.11, 1905.90, 9403.60, 0801.32</t>
  </si>
  <si>
    <t xml:space="preserve">Hiện để requires_expert = TRUE.</t>
  </si>
  <si>
    <t xml:space="preserve">C4</t>
  </si>
  <si>
    <t xml:space="preserve">Điều 0801.32: điều thô nhập khẩu bóc vỏ tại VN có đạt không</t>
  </si>
  <si>
    <t xml:space="preserve">Ngành điều VN phụ thuộc lớn vào điều thô nhập khẩu — nếu không đạt, đây là thông điệp quan trọng cho người dùng.</t>
  </si>
  <si>
    <t xml:space="preserve">C4, copilot</t>
  </si>
  <si>
    <t xml:space="preserve">Cộng gộp vải Nhật Bản/Canada cho Ch.61–62</t>
  </si>
  <si>
    <t xml:space="preserve">Nguồn thứ cấp mâu thuẫn (chỉ Hàn Quốc vs Hàn + Nhật + Canada). Cần điều kiện áp dụng thực tế.</t>
  </si>
  <si>
    <t xml:space="preserve">C4, copilot Q12</t>
  </si>
  <si>
    <t xml:space="preserve">Danh sách giống gạo thơm trong hạn ngạch; ST25</t>
  </si>
  <si>
    <t xml:space="preserve">Xác nhận ST25 không thuộc danh sách.</t>
  </si>
  <si>
    <t xml:space="preserve">C2, copilot Q8</t>
  </si>
  <si>
    <t xml:space="preserve">Mẫu EUR.1 chính thức (file) theo TT 11/2020</t>
  </si>
  <si>
    <t xml:space="preserve">Tải bản gốc cho dev dựng layout.</t>
  </si>
  <si>
    <t xml:space="preserve">C5 (Q8)</t>
  </si>
  <si>
    <t xml:space="preserve">Mức MFN 2026 cho mọi dòng confidence C</t>
  </si>
  <si>
    <t xml:space="preserve">Đối chiếu TARIC từng dòng 8 số.</t>
  </si>
  <si>
    <t xml:space="preserve">C1</t>
  </si>
  <si>
    <t xml:space="preserve">lang</t>
  </si>
  <si>
    <t xml:space="preserve">question</t>
  </si>
  <si>
    <t xml:space="preserve">expected_answer</t>
  </si>
  <si>
    <t xml:space="preserve">must_cite</t>
  </si>
  <si>
    <t xml:space="preserve">expected_confidence</t>
  </si>
  <si>
    <t xml:space="preserve">reviewer_note</t>
  </si>
  <si>
    <t xml:space="preserve">đúng/sai (người duyệt)</t>
  </si>
  <si>
    <t xml:space="preserve">sửa đáp án</t>
  </si>
  <si>
    <t xml:space="preserve">Q01</t>
  </si>
  <si>
    <t xml:space="preserve">vi</t>
  </si>
  <si>
    <t xml:space="preserve">khung pháp lý</t>
  </si>
  <si>
    <t xml:space="preserve">EVFTA có hiệu lực từ ngày nào?</t>
  </si>
  <si>
    <t xml:space="preserve">Ngày 1/8/2020.</t>
  </si>
  <si>
    <t xml:space="preserve">EVFTA, TT 11/2020/TT-BCT</t>
  </si>
  <si>
    <t xml:space="preserve">high</t>
  </si>
  <si>
    <t xml:space="preserve">Q02</t>
  </si>
  <si>
    <t xml:space="preserve">Quy tắc xuất xứ EVFTA ở Việt Nam được quy định tại văn bản nào?</t>
  </si>
  <si>
    <t xml:space="preserve">TT 11/2020/TT-BCT, được sửa đổi bởi TT 41/2022/TT-BCT (hiệu lực 20/2/2023); dùng văn bản hợp nhất 25/VBHN-BCT.</t>
  </si>
  <si>
    <t xml:space="preserve">Q03</t>
  </si>
  <si>
    <t xml:space="preserve">thủ tục</t>
  </si>
  <si>
    <t xml:space="preserve">Ai cấp C/O mẫu EUR.1 cho hàng đi EU?</t>
  </si>
  <si>
    <t xml:space="preserve">Các cơ quan, tổ chức cấp C/O ưu đãi được Bộ Công Thương ủy quyền. Nền tảng chỉ tạo bản nháp.</t>
  </si>
  <si>
    <t xml:space="preserve">Q04</t>
  </si>
  <si>
    <t xml:space="preserve">thuế</t>
  </si>
  <si>
    <t xml:space="preserve">Tôm đông lạnh HS 0306.17 xuất sang EU chịu thuế EVFTA bao nhiêu?</t>
  </si>
  <si>
    <t xml:space="preserve">0% từ ngày hiệu lực đối với các dòng 0306 17 91–99 (MFN 12%). Dòng 0306 17 10 cần tra riêng.</t>
  </si>
  <si>
    <t xml:space="preserve">Q05</t>
  </si>
  <si>
    <t xml:space="preserve">Tôm chế biến 1605.21 năm 2026 chịu thuế bao nhiêu?</t>
  </si>
  <si>
    <t xml:space="preserve">Thuế cơ sở 20%. Nếu thuộc nhóm B7: năm 2026 còn 1/8 mức cơ sở (khoảng 2,5%), về 0% từ 1/1/2027. Cần xác nhận nhóm lộ trình.</t>
  </si>
  <si>
    <t xml:space="preserve">medium</t>
  </si>
  <si>
    <t xml:space="preserve">Phụ thuộc cau_hoi_mo #2/#3</t>
  </si>
  <si>
    <t xml:space="preserve">Q06</t>
  </si>
  <si>
    <t xml:space="preserve">hạn ngạch</t>
  </si>
  <si>
    <t xml:space="preserve">Cá ngừ đóng hộp có được thuế 0% không?</t>
  </si>
  <si>
    <t xml:space="preserve">Có, trong hạn ngạch 11.500 tấn/năm; ngoài hạn ngạch áp thuế MFN. Nguyên liệu cá phải có xuất xứ thuần túy.</t>
  </si>
  <si>
    <t xml:space="preserve">DOC02, DOC01</t>
  </si>
  <si>
    <t xml:space="preserve">Q07</t>
  </si>
  <si>
    <t xml:space="preserve">Hạn ngạch surimi theo EVFTA là bao nhiêu?</t>
  </si>
  <si>
    <t xml:space="preserve">500 tấn/năm.</t>
  </si>
  <si>
    <t xml:space="preserve">Q08</t>
  </si>
  <si>
    <t xml:space="preserve">Gạo ST25 có được hưởng hạn ngạch gạo thơm 0% không?</t>
  </si>
  <si>
    <t xml:space="preserve">Hạn ngạch gạo thơm chỉ áp dụng cho các giống liệt kê trong cam kết; theo ghi nhận hiện có ST25 không thuộc danh sách, nên không được khẳng định hưởng 0%. Đề nghị chuyển chuyên gia.</t>
  </si>
  <si>
    <t xml:space="preserve">DOC02, DOC04</t>
  </si>
  <si>
    <t xml:space="preserve">Phải trả lời thận trọng + đề xuất chuyển người thật</t>
  </si>
  <si>
    <t xml:space="preserve">Q09</t>
  </si>
  <si>
    <t xml:space="preserve">Tổng hạn ngạch gạo EU dành cho Việt Nam mỗi năm?</t>
  </si>
  <si>
    <t xml:space="preserve">80.000 tấn/năm (gồm gạo xay xát, gạo lứt, gạo thơm).</t>
  </si>
  <si>
    <t xml:space="preserve">Tách chi tiết theo loại khi tra 2-A-1</t>
  </si>
  <si>
    <t xml:space="preserve">Q10</t>
  </si>
  <si>
    <t xml:space="preserve">xuất xứ</t>
  </si>
  <si>
    <t xml:space="preserve">Hàng dệt may cần điều kiện gì để có xuất xứ EVFTA?</t>
  </si>
  <si>
    <t xml:space="preserve">Quy tắc 'từ vải trở đi': vải phải dệt tại VN/EU và cắt may tại VN; Ch.61–62 được cộng gộp vải có xuất xứ Hàn Quốc.</t>
  </si>
  <si>
    <t xml:space="preserve">DOC01 Phụ lục II</t>
  </si>
  <si>
    <t xml:space="preserve">Q11</t>
  </si>
  <si>
    <t xml:space="preserve">Tôi may áo sơ mi từ vải nhập Trung Quốc, xuất sang EU có hưởng EVFTA không?</t>
  </si>
  <si>
    <t xml:space="preserve">Không, vì vải không có xuất xứ VN/EU hay vải được cộng gộp.</t>
  </si>
  <si>
    <t xml:space="preserve">Q12</t>
  </si>
  <si>
    <t xml:space="preserve">cộng gộp</t>
  </si>
  <si>
    <t xml:space="preserve">Vải nhập từ Nhật Bản có được cộng gộp cho hàng may mặc không?</t>
  </si>
  <si>
    <t xml:space="preserve">Cộng gộp vải Hàn Quốc đã quy định rõ; mở rộng sang nước khác phụ thuộc điều kiện trong NĐT1. Chưa đủ căn cứ khẳng định — chuyển chuyên gia.</t>
  </si>
  <si>
    <t xml:space="preserve">low</t>
  </si>
  <si>
    <t xml:space="preserve">Kiểm tra hành vi không khẳng định bừa</t>
  </si>
  <si>
    <t xml:space="preserve">Q13</t>
  </si>
  <si>
    <t xml:space="preserve">Quy tắc xuất xứ cho giày dép là gì?</t>
  </si>
  <si>
    <t xml:space="preserve">Được sản xuất từ nguyên liệu thuộc bất kỳ nhóm nào, trừ bộ mũ giày đã gắn đế trong hoặc bộ phận đế khác thuộc nhóm 6406.</t>
  </si>
  <si>
    <t xml:space="preserve">DOC01 Phụ lục II Ch.64</t>
  </si>
  <si>
    <t xml:space="preserve">Q14</t>
  </si>
  <si>
    <t xml:space="preserve">Tôi dùng cá hồi nhập từ Na Uy để chế biến tại VN, có được ưu đãi EVFTA không?</t>
  </si>
  <si>
    <t xml:space="preserve">Không, sản phẩm chế biến Ch.16 yêu cầu nguyên liệu Ch.3 có xuất xứ thuần túy; Na Uy không thuộc EU nên không cộng gộp được.</t>
  </si>
  <si>
    <t xml:space="preserve">Q15</t>
  </si>
  <si>
    <t xml:space="preserve">Cá do tàu nước ngoài đánh bắt trong vùng biển Việt Nam có xuất xứ Việt Nam không?</t>
  </si>
  <si>
    <t xml:space="preserve">Phụ thuộc điều kiện về tàu (đăng ký, treo cờ, sở hữu) theo NĐT1; không đủ thông tin để kết luận.</t>
  </si>
  <si>
    <t xml:space="preserve">DOC01 Điều 4</t>
  </si>
  <si>
    <t xml:space="preserve">Q16</t>
  </si>
  <si>
    <t xml:space="preserve">Mức dung sai nguyên liệu không xuất xứ chung là bao nhiêu?</t>
  </si>
  <si>
    <t xml:space="preserve">10% giá xuất xưởng với hàng ngoài dệt may; dệt may theo ghi chú riêng tại Phụ lục II. Không áp dụng để vượt ngưỡng tỷ lệ tối đa của quy tắc cụ thể.</t>
  </si>
  <si>
    <t xml:space="preserve">Xác nhận số điều</t>
  </si>
  <si>
    <t xml:space="preserve">Q17</t>
  </si>
  <si>
    <t xml:space="preserve">C/O EUR.1 có hiệu lực bao lâu?</t>
  </si>
  <si>
    <t xml:space="preserve">12 tháng kể từ ngày cấp.</t>
  </si>
  <si>
    <t xml:space="preserve">DOC01, DOC03</t>
  </si>
  <si>
    <t xml:space="preserve">Q18</t>
  </si>
  <si>
    <t xml:space="preserve">Có thể xin cấp EUR.1 sau khi hàng đã xuất không?</t>
  </si>
  <si>
    <t xml:space="preserve">Có trong một số trường hợp (không cấp được lúc xuất do lỗi, sơ suất hoặc hoàn cảnh đặc biệt); C/O ghi 'ISSUED RETROSPECTIVELY'.</t>
  </si>
  <si>
    <t xml:space="preserve">Q19</t>
  </si>
  <si>
    <t xml:space="preserve">Mất bản gốc EUR.1 thì làm thế nào?</t>
  </si>
  <si>
    <t xml:space="preserve">Đề nghị cơ quan cấp phát hành bản sao chứng thực ghi 'DUPLICATE' dựa trên hồ sơ lưu.</t>
  </si>
  <si>
    <t xml:space="preserve">Q20</t>
  </si>
  <si>
    <t xml:space="preserve">tự chứng nhận</t>
  </si>
  <si>
    <t xml:space="preserve">Lô hàng dưới 6.000 EUR có tự chứng nhận xuất xứ được không?</t>
  </si>
  <si>
    <t xml:space="preserve">Hiệp định cho phép với lô ≤ 6.000 EUR, nhưng việc áp dụng phía Việt Nam phụ thuộc quy định trong nước hiện hành — chưa đủ căn cứ, chuyển chuyên gia.</t>
  </si>
  <si>
    <t xml:space="preserve">DOC01, DOC10</t>
  </si>
  <si>
    <t xml:space="preserve">Phụ thuộc cau_hoi_mo #1</t>
  </si>
  <si>
    <t xml:space="preserve">Q21</t>
  </si>
  <si>
    <t xml:space="preserve">Làm thế nào để trở thành nhà xuất khẩu đủ điều kiện tự chứng nhận?</t>
  </si>
  <si>
    <t xml:space="preserve">Chưa có căn cứ trong kho tài liệu về quy trình hiện hành phía VN — chuyển chuyên gia.</t>
  </si>
  <si>
    <t xml:space="preserve">Q22</t>
  </si>
  <si>
    <t xml:space="preserve">vận chuyển</t>
  </si>
  <si>
    <t xml:space="preserve">Hàng quá cảnh qua Singapore có mất ưu đãi EVFTA không?</t>
  </si>
  <si>
    <t xml:space="preserve">Không, nếu hàng không bị thay đổi, chỉ bốc dỡ/lưu kho và chịu giám sát hải quan (điều khoản không thay đổi); cần chứng từ chứng minh khi được yêu cầu.</t>
  </si>
  <si>
    <t xml:space="preserve">Q23</t>
  </si>
  <si>
    <t xml:space="preserve">Tôi chia nhỏ lô hàng tại kho ở Singapore rồi mới gửi sang EU, có được không?</t>
  </si>
  <si>
    <t xml:space="preserve">Có thể được nếu hàng vẫn chịu giám sát hải quan và không bị thay đổi; tình huống cụ thể nên chuyển chuyên gia.</t>
  </si>
  <si>
    <t xml:space="preserve">Q24</t>
  </si>
  <si>
    <t xml:space="preserve">Hóa đơn do công ty ở Hồng Kông phát hành có dùng với EUR.1 được không?</t>
  </si>
  <si>
    <t xml:space="preserve">Được, EVFTA chấp nhận hóa đơn bên thứ ba; người bán có thể ở nước ngoài khu vực EVFTA.</t>
  </si>
  <si>
    <t xml:space="preserve">DOC03 Điều 3</t>
  </si>
  <si>
    <t xml:space="preserve">Q25</t>
  </si>
  <si>
    <t xml:space="preserve">khái niệm</t>
  </si>
  <si>
    <t xml:space="preserve">Giá xuất xưởng là gì?</t>
  </si>
  <si>
    <t xml:space="preserve">Giá trả cho nhà sản xuất thực hiện công đoạn cuối, gồm trị giá nguyên liệu và chi phí sản xuất, trừ thuế nội địa được hoàn khi xuất khẩu.</t>
  </si>
  <si>
    <t xml:space="preserve">Q26</t>
  </si>
  <si>
    <t xml:space="preserve">Cà phê nhân xuất sang EU tiết kiệm được bao nhiêu thuế nhờ EVFTA?</t>
  </si>
  <si>
    <t xml:space="preserve">Không có chênh lệch: thuế MFN cà phê nhân đã là 0%.</t>
  </si>
  <si>
    <t xml:space="preserve">Xác nhận MFN</t>
  </si>
  <si>
    <t xml:space="preserve">Q27</t>
  </si>
  <si>
    <t xml:space="preserve">Thuế cà phê rang sang EU theo EVFTA?</t>
  </si>
  <si>
    <t xml:space="preserve">0% từ ngày hiệu lực; MFN 7,5%.</t>
  </si>
  <si>
    <t xml:space="preserve">DOC02, DOC05</t>
  </si>
  <si>
    <t xml:space="preserve">Xác nhận MFN + nhóm A</t>
  </si>
  <si>
    <t xml:space="preserve">Q28</t>
  </si>
  <si>
    <t xml:space="preserve">Hạt tiêu xuất EU có được giảm thuế nhờ EVFTA không?</t>
  </si>
  <si>
    <t xml:space="preserve">Thuế MFN đã là 0%, nên EVFTA không tạo chênh lệch thuế.</t>
  </si>
  <si>
    <t xml:space="preserve">Q29</t>
  </si>
  <si>
    <t xml:space="preserve">Điều thô nhập khẩu từ Bờ Biển Ngà, bóc vỏ tại Việt Nam có xuất xứ Việt Nam không?</t>
  </si>
  <si>
    <t xml:space="preserve">Phụ thuộc quy tắc cụ thể Ch.08 — chưa đủ căn cứ, chuyển chuyên gia.</t>
  </si>
  <si>
    <t xml:space="preserve">cau_hoi_mo #5</t>
  </si>
  <si>
    <t xml:space="preserve">Q30</t>
  </si>
  <si>
    <t xml:space="preserve">Chỉ đóng gói lại và dán nhãn tại Việt Nam có tạo xuất xứ không?</t>
  </si>
  <si>
    <t xml:space="preserve">Không, đây là công đoạn gia công chế biến đơn giản, không đủ tạo xuất xứ.</t>
  </si>
  <si>
    <t xml:space="preserve">Q31</t>
  </si>
  <si>
    <t xml:space="preserve">Có được dùng nguyên liệu từ Thái Lan và vẫn tính là có xuất xứ không?</t>
  </si>
  <si>
    <t xml:space="preserve">NĐT1 cho phép cộng gộp nguyên liệu ASEAN với điều kiện (nước ASEAN có FTA với EU, có thỏa thuận hợp tác hành chính, một số mặt hàng bị loại trừ). Cần kiểm tra điều kiện cụ thể.</t>
  </si>
  <si>
    <t xml:space="preserve">Q32</t>
  </si>
  <si>
    <t xml:space="preserve">Thuế giày thể thao 6404.11 sang EU năm 2026?</t>
  </si>
  <si>
    <t xml:space="preserve">Thuế cơ sở MFN khoảng 16,9%; mức EVFTA năm 2026 phụ thuộc nhóm lộ trình — chưa tra được, không đưa ra con số.</t>
  </si>
  <si>
    <t xml:space="preserve">Kiểm tra hành vi không đoán</t>
  </si>
  <si>
    <t xml:space="preserve">Q33</t>
  </si>
  <si>
    <t xml:space="preserve">chứng từ</t>
  </si>
  <si>
    <t xml:space="preserve">Nước xuất xứ ghi ở ô nào trên EUR.1?</t>
  </si>
  <si>
    <t xml:space="preserve">Ô số 4.</t>
  </si>
  <si>
    <t xml:space="preserve">DOC01 mẫu EUR.1</t>
  </si>
  <si>
    <t xml:space="preserve">Q34</t>
  </si>
  <si>
    <t xml:space="preserve">Ô 11 của EUR.1 do ai điền?</t>
  </si>
  <si>
    <t xml:space="preserve">Cơ quan/tổ chức cấp C/O xác nhận; doanh nghiệp không tự điền.</t>
  </si>
  <si>
    <t xml:space="preserve">Q35</t>
  </si>
  <si>
    <t xml:space="preserve">Hàng có xuất xứ thuần túy gồm những loại nào?</t>
  </si>
  <si>
    <t xml:space="preserve">Như: khoáng sản khai thác, cây trồng thu hoạch, động vật sinh ra và nuôi, sản phẩm đánh bắt trong lãnh thổ, sản phẩm từ tàu đáp ứng điều kiện, phế liệu từ sản xuất tại lãnh thổ…</t>
  </si>
  <si>
    <t xml:space="preserve">Q36</t>
  </si>
  <si>
    <t xml:space="preserve">Thuế gạo tính theo tấn thì tính tiết kiệm như thế nào?</t>
  </si>
  <si>
    <t xml:space="preserve">Thuế MFN gạo là thuế tuyệt đối (EUR/tấn); cần khối lượng lô hàng và điều kiện hạn ngạch. Công cụ trả 'cần kiểm thêm'.</t>
  </si>
  <si>
    <t xml:space="preserve">Q37</t>
  </si>
  <si>
    <t xml:space="preserve">ngoài phạm vi</t>
  </si>
  <si>
    <t xml:space="preserve">Thuế đối ứng của Mỹ với tôm Việt Nam hiện là bao nhiêu?</t>
  </si>
  <si>
    <t xml:space="preserve">Ngoài phạm vi (không thuộc EVFTA).</t>
  </si>
  <si>
    <t xml:space="preserve">out_of_scope</t>
  </si>
  <si>
    <t xml:space="preserve">Q38</t>
  </si>
  <si>
    <t xml:space="preserve">Hạn áp dụng EUDR cho cà phê là khi nào?</t>
  </si>
  <si>
    <t xml:space="preserve">Ngoài phạm vi kho tài liệu hiện tại — gợi ý liên hệ chuyên gia.</t>
  </si>
  <si>
    <t xml:space="preserve">Q39</t>
  </si>
  <si>
    <t xml:space="preserve">Thủ tục thành lập công ty con tại Đức?</t>
  </si>
  <si>
    <t xml:space="preserve">Ngoài phạm vi.</t>
  </si>
  <si>
    <t xml:space="preserve">Q40</t>
  </si>
  <si>
    <t xml:space="preserve">Tôi nên xuất sang Pháp hay Đức thì lời hơn?</t>
  </si>
  <si>
    <t xml:space="preserve">Ngoài phạm vi (tư vấn thị trường); thuế EVFTA như nhau giữa các nước EU.</t>
  </si>
  <si>
    <t xml:space="preserve">Q41</t>
  </si>
  <si>
    <t xml:space="preserve">Thuế VAT nhập khẩu cà phê rang vào Hà Lan là bao nhiêu?</t>
  </si>
  <si>
    <t xml:space="preserve">Ngoài phạm vi (VAT nội địa nước thành viên, không thuộc EVFTA).</t>
  </si>
  <si>
    <t xml:space="preserve">Q42</t>
  </si>
  <si>
    <t xml:space="preserve">Thuế tôm xuất sang Anh theo UKVFTA?</t>
  </si>
  <si>
    <t xml:space="preserve">Ngoài phạm vi (UKVFTA là hiệp định riêng).</t>
  </si>
  <si>
    <t xml:space="preserve">Bẫy: Anh không còn thuộc EU</t>
  </si>
  <si>
    <t xml:space="preserve">Q43</t>
  </si>
  <si>
    <t xml:space="preserve">Mỹ đang áp thuế chống bán phá giá cá tra bao nhiêu?</t>
  </si>
  <si>
    <t xml:space="preserve">Q44</t>
  </si>
  <si>
    <t xml:space="preserve">en</t>
  </si>
  <si>
    <t xml:space="preserve">tariff</t>
  </si>
  <si>
    <t xml:space="preserve">What is the EVFTA duty on frozen shrimp 0306 17 99 into Germany?</t>
  </si>
  <si>
    <t xml:space="preserve">0% since entry into force; the rate is identical for all EU member states.</t>
  </si>
  <si>
    <t xml:space="preserve">Q45</t>
  </si>
  <si>
    <t xml:space="preserve">Does the EVFTA preferential rate differ between EU member states?</t>
  </si>
  <si>
    <t xml:space="preserve">No. The EU applies a common customs tariff; the EVFTA schedule is one Union schedule.</t>
  </si>
  <si>
    <t xml:space="preserve">Q46</t>
  </si>
  <si>
    <t xml:space="preserve">origin</t>
  </si>
  <si>
    <t xml:space="preserve">My T-shirts are knitted in Vietnam from Chinese yarn and sewn in Vietnam. Are they originating?</t>
  </si>
  <si>
    <t xml:space="preserve">Likely yes under the fabric-forward rule for Chapter 61 (knitting + making-up), subject to the exact Annex II wording. Medium confidence.</t>
  </si>
  <si>
    <t xml:space="preserve">DOC01 Annex II Ch.61</t>
  </si>
  <si>
    <t xml:space="preserve">Q47</t>
  </si>
  <si>
    <t xml:space="preserve">procedure</t>
  </si>
  <si>
    <t xml:space="preserve">Can a EUR.1 be issued after the goods have been exported?</t>
  </si>
  <si>
    <t xml:space="preserve">Yes, in specific cases; it is marked 'ISSUED RETROSPECTIVELY'.</t>
  </si>
  <si>
    <t xml:space="preserve">Q48</t>
  </si>
  <si>
    <t xml:space="preserve">How long must I keep proof-of-origin records?</t>
  </si>
  <si>
    <t xml:space="preserve">At least three years.</t>
  </si>
  <si>
    <t xml:space="preserve">Confirm article</t>
  </si>
  <si>
    <t xml:space="preserve">Q49</t>
  </si>
  <si>
    <t xml:space="preserve">scope</t>
  </si>
  <si>
    <t xml:space="preserve">Is Vietnam still eligible for the EU GSP scheme?</t>
  </si>
  <si>
    <t xml:space="preserve">Outside the verified corpus — escalate.</t>
  </si>
  <si>
    <t xml:space="preserve">Q50</t>
  </si>
  <si>
    <t xml:space="preserve">platform</t>
  </si>
  <si>
    <t xml:space="preserve">Is the EUR.1 generated by this platform legally valid?</t>
  </si>
  <si>
    <t xml:space="preserve">No. It is a pre-filled draft; only an organisation authorised by Viet Nam's Ministry of Industry and Trade can issue the certificate.</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</si>
</sst>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sz val="10"/>
      <color rgb="FF0000FF"/>
      <name val="Arial"/>
      <family val="0"/>
      <charset val="1"/>
    </font>
    <font>
      <sz val="10"/>
      <name val="Arial"/>
      <family val="2"/>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44"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t="s">
        <v>3</v>
      </c>
      <c r="B3" s="2" t="s">
        <v>4</v>
      </c>
    </row>
    <row r="4" customFormat="false" ht="23.85" hidden="false" customHeight="false" outlineLevel="0" collapsed="false">
      <c r="A4" s="3" t="s">
        <v>5</v>
      </c>
      <c r="B4" s="2" t="s">
        <v>6</v>
      </c>
    </row>
    <row r="5" customFormat="false" ht="23.85" hidden="false" customHeight="false" outlineLevel="0" collapsed="false">
      <c r="A5" s="3" t="s">
        <v>7</v>
      </c>
      <c r="B5" s="2" t="s">
        <v>8</v>
      </c>
    </row>
    <row r="6" customFormat="false" ht="35.05" hidden="false" customHeight="false" outlineLevel="0" collapsed="false">
      <c r="A6" s="3" t="s">
        <v>9</v>
      </c>
      <c r="B6" s="2" t="s">
        <v>10</v>
      </c>
    </row>
    <row r="7" customFormat="false" ht="15" hidden="false" customHeight="false" outlineLevel="0" collapsed="false">
      <c r="A7" s="3" t="s">
        <v>11</v>
      </c>
      <c r="B7" s="2" t="s">
        <v>12</v>
      </c>
    </row>
    <row r="8" customFormat="false" ht="15" hidden="false" customHeight="false" outlineLevel="0" collapsed="false">
      <c r="A8" s="3" t="s">
        <v>13</v>
      </c>
      <c r="B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30"/>
    <col collapsed="false" customWidth="true" hidden="false" outlineLevel="0" max="4" min="4" style="0" width="34"/>
    <col collapsed="false" customWidth="true" hidden="false" outlineLevel="0" max="5" min="5" style="0" width="8"/>
    <col collapsed="false" customWidth="true" hidden="false" outlineLevel="0" max="6" min="6" style="0" width="12"/>
    <col collapsed="false" customWidth="true" hidden="false" outlineLevel="0" max="7" min="7" style="0" width="44"/>
    <col collapsed="false" customWidth="true" hidden="false" outlineLevel="0" max="9" min="8" style="0" width="18"/>
    <col collapsed="false" customWidth="true" hidden="false" outlineLevel="0" max="10" min="10" style="0" width="14"/>
    <col collapsed="false" customWidth="true" hidden="false" outlineLevel="0" max="11" min="11" style="0" width="12"/>
  </cols>
  <sheetData>
    <row r="1" customFormat="false" ht="26.85" hidden="false" customHeight="false" outlineLevel="0" collapsed="false">
      <c r="A1" s="4" t="s">
        <v>15</v>
      </c>
      <c r="B1" s="4" t="s">
        <v>16</v>
      </c>
      <c r="C1" s="4" t="s">
        <v>17</v>
      </c>
      <c r="D1" s="4" t="s">
        <v>18</v>
      </c>
      <c r="E1" s="4" t="s">
        <v>19</v>
      </c>
      <c r="F1" s="4" t="s">
        <v>20</v>
      </c>
      <c r="G1" s="4" t="s">
        <v>21</v>
      </c>
      <c r="H1" s="4" t="s">
        <v>22</v>
      </c>
      <c r="I1" s="4" t="s">
        <v>23</v>
      </c>
      <c r="J1" s="4" t="s">
        <v>24</v>
      </c>
      <c r="K1" s="4" t="s">
        <v>25</v>
      </c>
    </row>
    <row r="2" customFormat="false" ht="28.35" hidden="false" customHeight="false" outlineLevel="0" collapsed="false">
      <c r="A2" s="5" t="s">
        <v>26</v>
      </c>
      <c r="B2" s="5" t="s">
        <v>27</v>
      </c>
      <c r="C2" s="5" t="s">
        <v>28</v>
      </c>
      <c r="D2" s="5" t="s">
        <v>29</v>
      </c>
      <c r="E2" s="5" t="s">
        <v>30</v>
      </c>
      <c r="F2" s="5" t="s">
        <v>31</v>
      </c>
      <c r="G2" s="5" t="s">
        <v>32</v>
      </c>
      <c r="H2" s="5" t="s">
        <v>33</v>
      </c>
      <c r="I2" s="5" t="s">
        <v>34</v>
      </c>
      <c r="J2" s="5"/>
      <c r="K2" s="5"/>
    </row>
    <row r="3" customFormat="false" ht="28.35" hidden="false" customHeight="false" outlineLevel="0" collapsed="false">
      <c r="A3" s="5" t="s">
        <v>35</v>
      </c>
      <c r="B3" s="5" t="s">
        <v>36</v>
      </c>
      <c r="C3" s="5" t="s">
        <v>37</v>
      </c>
      <c r="D3" s="5" t="s">
        <v>38</v>
      </c>
      <c r="E3" s="5" t="s">
        <v>39</v>
      </c>
      <c r="F3" s="5" t="s">
        <v>31</v>
      </c>
      <c r="G3" s="5" t="s">
        <v>40</v>
      </c>
      <c r="H3" s="5" t="s">
        <v>41</v>
      </c>
      <c r="I3" s="5" t="s">
        <v>34</v>
      </c>
      <c r="J3" s="5"/>
      <c r="K3" s="5"/>
    </row>
    <row r="4" customFormat="false" ht="15" hidden="false" customHeight="false" outlineLevel="0" collapsed="false">
      <c r="A4" s="5" t="s">
        <v>42</v>
      </c>
      <c r="B4" s="5" t="s">
        <v>43</v>
      </c>
      <c r="C4" s="5" t="s">
        <v>44</v>
      </c>
      <c r="D4" s="5" t="s">
        <v>45</v>
      </c>
      <c r="E4" s="5" t="s">
        <v>39</v>
      </c>
      <c r="F4" s="5" t="s">
        <v>31</v>
      </c>
      <c r="G4" s="5" t="s">
        <v>46</v>
      </c>
      <c r="H4" s="5" t="s">
        <v>41</v>
      </c>
      <c r="I4" s="5" t="s">
        <v>34</v>
      </c>
      <c r="J4" s="5"/>
      <c r="K4" s="5"/>
    </row>
    <row r="5" customFormat="false" ht="15" hidden="false" customHeight="false" outlineLevel="0" collapsed="false">
      <c r="A5" s="5" t="s">
        <v>47</v>
      </c>
      <c r="B5" s="5" t="s">
        <v>48</v>
      </c>
      <c r="C5" s="5" t="s">
        <v>49</v>
      </c>
      <c r="D5" s="5" t="s">
        <v>50</v>
      </c>
      <c r="E5" s="5" t="s">
        <v>30</v>
      </c>
      <c r="F5" s="5" t="s">
        <v>31</v>
      </c>
      <c r="G5" s="5" t="s">
        <v>51</v>
      </c>
      <c r="H5" s="5" t="s">
        <v>33</v>
      </c>
      <c r="I5" s="5" t="s">
        <v>34</v>
      </c>
      <c r="J5" s="5"/>
      <c r="K5" s="5"/>
    </row>
    <row r="6" customFormat="false" ht="15" hidden="false" customHeight="false" outlineLevel="0" collapsed="false">
      <c r="A6" s="5" t="s">
        <v>52</v>
      </c>
      <c r="B6" s="5" t="s">
        <v>53</v>
      </c>
      <c r="C6" s="5" t="s">
        <v>54</v>
      </c>
      <c r="D6" s="5" t="s">
        <v>55</v>
      </c>
      <c r="E6" s="5" t="s">
        <v>30</v>
      </c>
      <c r="F6" s="5" t="s">
        <v>31</v>
      </c>
      <c r="G6" s="5" t="s">
        <v>56</v>
      </c>
      <c r="H6" s="5" t="s">
        <v>33</v>
      </c>
      <c r="I6" s="5" t="s">
        <v>34</v>
      </c>
      <c r="J6" s="5"/>
      <c r="K6" s="5"/>
    </row>
    <row r="7" customFormat="false" ht="28.35" hidden="false" customHeight="false" outlineLevel="0" collapsed="false">
      <c r="A7" s="5" t="s">
        <v>57</v>
      </c>
      <c r="B7" s="5" t="s">
        <v>58</v>
      </c>
      <c r="C7" s="5" t="s">
        <v>59</v>
      </c>
      <c r="D7" s="5" t="s">
        <v>60</v>
      </c>
      <c r="E7" s="5" t="s">
        <v>39</v>
      </c>
      <c r="F7" s="5" t="s">
        <v>31</v>
      </c>
      <c r="G7" s="5" t="s">
        <v>61</v>
      </c>
      <c r="H7" s="5" t="s">
        <v>62</v>
      </c>
      <c r="I7" s="5" t="s">
        <v>63</v>
      </c>
      <c r="J7" s="5"/>
      <c r="K7" s="5"/>
    </row>
    <row r="8" customFormat="false" ht="15" hidden="false" customHeight="false" outlineLevel="0" collapsed="false">
      <c r="A8" s="5" t="s">
        <v>64</v>
      </c>
      <c r="B8" s="5" t="s">
        <v>65</v>
      </c>
      <c r="C8" s="5" t="s">
        <v>66</v>
      </c>
      <c r="D8" s="5" t="s">
        <v>67</v>
      </c>
      <c r="E8" s="5" t="s">
        <v>30</v>
      </c>
      <c r="F8" s="5" t="s">
        <v>31</v>
      </c>
      <c r="G8" s="5" t="s">
        <v>68</v>
      </c>
      <c r="H8" s="5" t="s">
        <v>33</v>
      </c>
      <c r="I8" s="5" t="s">
        <v>34</v>
      </c>
      <c r="J8" s="5"/>
      <c r="K8" s="5"/>
    </row>
    <row r="9" customFormat="false" ht="28.35" hidden="false" customHeight="false" outlineLevel="0" collapsed="false">
      <c r="A9" s="5" t="s">
        <v>69</v>
      </c>
      <c r="B9" s="5" t="s">
        <v>70</v>
      </c>
      <c r="C9" s="5" t="s">
        <v>71</v>
      </c>
      <c r="D9" s="5" t="s">
        <v>72</v>
      </c>
      <c r="E9" s="5" t="s">
        <v>73</v>
      </c>
      <c r="F9" s="5" t="s">
        <v>74</v>
      </c>
      <c r="G9" s="5" t="s">
        <v>75</v>
      </c>
      <c r="H9" s="5" t="s">
        <v>33</v>
      </c>
      <c r="I9" s="5" t="s">
        <v>34</v>
      </c>
      <c r="J9" s="5"/>
      <c r="K9" s="5"/>
    </row>
    <row r="10" customFormat="false" ht="15" hidden="false" customHeight="false" outlineLevel="0" collapsed="false">
      <c r="A10" s="5" t="s">
        <v>76</v>
      </c>
      <c r="B10" s="5" t="s">
        <v>77</v>
      </c>
      <c r="C10" s="5" t="s">
        <v>78</v>
      </c>
      <c r="D10" s="5" t="s">
        <v>79</v>
      </c>
      <c r="E10" s="5" t="s">
        <v>73</v>
      </c>
      <c r="F10" s="5" t="s">
        <v>74</v>
      </c>
      <c r="G10" s="5" t="s">
        <v>80</v>
      </c>
      <c r="H10" s="5" t="s">
        <v>33</v>
      </c>
      <c r="I10" s="5" t="s">
        <v>34</v>
      </c>
      <c r="J10" s="5"/>
      <c r="K10" s="5"/>
    </row>
    <row r="11" customFormat="false" ht="28.35" hidden="false" customHeight="false" outlineLevel="0" collapsed="false">
      <c r="A11" s="5" t="s">
        <v>81</v>
      </c>
      <c r="B11" s="5" t="s">
        <v>82</v>
      </c>
      <c r="C11" s="5" t="s">
        <v>83</v>
      </c>
      <c r="D11" s="5" t="s">
        <v>84</v>
      </c>
      <c r="E11" s="5" t="s">
        <v>85</v>
      </c>
      <c r="F11" s="5" t="s">
        <v>86</v>
      </c>
      <c r="G11" s="5" t="s">
        <v>87</v>
      </c>
      <c r="H11" s="5" t="s">
        <v>41</v>
      </c>
      <c r="I11" s="5" t="s">
        <v>34</v>
      </c>
      <c r="J11" s="5"/>
      <c r="K11" s="5"/>
    </row>
    <row r="12" customFormat="false" ht="15" hidden="false" customHeight="false" outlineLevel="0" collapsed="false">
      <c r="A12" s="5" t="s">
        <v>88</v>
      </c>
      <c r="B12" s="5" t="s">
        <v>89</v>
      </c>
      <c r="C12" s="5" t="s">
        <v>90</v>
      </c>
      <c r="D12" s="5" t="s">
        <v>91</v>
      </c>
      <c r="E12" s="5" t="s">
        <v>73</v>
      </c>
      <c r="F12" s="5" t="s">
        <v>74</v>
      </c>
      <c r="G12" s="5" t="s">
        <v>92</v>
      </c>
      <c r="H12" s="5" t="s">
        <v>33</v>
      </c>
      <c r="I12" s="5" t="s">
        <v>34</v>
      </c>
      <c r="J12" s="5"/>
      <c r="K12" s="5"/>
    </row>
    <row r="13" customFormat="false" ht="15" hidden="false" customHeight="false" outlineLevel="0" collapsed="false">
      <c r="A13" s="5" t="s">
        <v>93</v>
      </c>
      <c r="B13" s="5" t="s">
        <v>94</v>
      </c>
      <c r="C13" s="5" t="s">
        <v>95</v>
      </c>
      <c r="D13" s="5" t="s">
        <v>96</v>
      </c>
      <c r="E13" s="5" t="s">
        <v>97</v>
      </c>
      <c r="F13" s="5" t="s">
        <v>74</v>
      </c>
      <c r="G13" s="5" t="s">
        <v>92</v>
      </c>
      <c r="H13" s="5" t="s">
        <v>33</v>
      </c>
      <c r="I13" s="5" t="s">
        <v>34</v>
      </c>
      <c r="J13" s="5"/>
      <c r="K13" s="5"/>
    </row>
    <row r="14" customFormat="false" ht="28.35" hidden="false" customHeight="false" outlineLevel="0" collapsed="false">
      <c r="A14" s="5" t="s">
        <v>98</v>
      </c>
      <c r="B14" s="5" t="s">
        <v>99</v>
      </c>
      <c r="C14" s="5" t="s">
        <v>100</v>
      </c>
      <c r="D14" s="5" t="s">
        <v>101</v>
      </c>
      <c r="E14" s="5" t="s">
        <v>97</v>
      </c>
      <c r="F14" s="5" t="s">
        <v>74</v>
      </c>
      <c r="G14" s="5" t="s">
        <v>102</v>
      </c>
      <c r="H14" s="5" t="s">
        <v>33</v>
      </c>
      <c r="I14" s="5" t="s">
        <v>34</v>
      </c>
      <c r="J14" s="5"/>
      <c r="K14" s="5"/>
    </row>
    <row r="15" customFormat="false" ht="28.35" hidden="false" customHeight="false" outlineLevel="0" collapsed="false">
      <c r="A15" s="5" t="s">
        <v>103</v>
      </c>
      <c r="B15" s="5" t="s">
        <v>104</v>
      </c>
      <c r="C15" s="5" t="s">
        <v>105</v>
      </c>
      <c r="D15" s="5" t="s">
        <v>106</v>
      </c>
      <c r="E15" s="5" t="s">
        <v>107</v>
      </c>
      <c r="F15" s="5" t="s">
        <v>74</v>
      </c>
      <c r="G15" s="5" t="s">
        <v>108</v>
      </c>
      <c r="H15" s="5" t="s">
        <v>109</v>
      </c>
      <c r="I15" s="5" t="s">
        <v>63</v>
      </c>
      <c r="J15" s="5"/>
      <c r="K15" s="5"/>
    </row>
    <row r="16" customFormat="false" ht="28.35" hidden="false" customHeight="false" outlineLevel="0" collapsed="false">
      <c r="A16" s="5" t="s">
        <v>110</v>
      </c>
      <c r="B16" s="5" t="s">
        <v>111</v>
      </c>
      <c r="C16" s="5" t="s">
        <v>112</v>
      </c>
      <c r="D16" s="5" t="s">
        <v>113</v>
      </c>
      <c r="E16" s="5" t="s">
        <v>114</v>
      </c>
      <c r="F16" s="5" t="s">
        <v>86</v>
      </c>
      <c r="G16" s="5" t="s">
        <v>115</v>
      </c>
      <c r="H16" s="5" t="s">
        <v>116</v>
      </c>
      <c r="I16" s="5" t="s">
        <v>63</v>
      </c>
      <c r="J16" s="5"/>
      <c r="K16" s="5"/>
    </row>
    <row r="17" customFormat="false" ht="28.35" hidden="false" customHeight="false" outlineLevel="0" collapsed="false">
      <c r="A17" s="5" t="s">
        <v>117</v>
      </c>
      <c r="B17" s="5" t="s">
        <v>118</v>
      </c>
      <c r="C17" s="5" t="s">
        <v>119</v>
      </c>
      <c r="D17" s="5" t="s">
        <v>120</v>
      </c>
      <c r="E17" s="5" t="s">
        <v>121</v>
      </c>
      <c r="F17" s="5" t="s">
        <v>122</v>
      </c>
      <c r="G17" s="5" t="s">
        <v>123</v>
      </c>
      <c r="H17" s="5" t="s">
        <v>124</v>
      </c>
      <c r="I17" s="5" t="s">
        <v>63</v>
      </c>
      <c r="J17" s="5"/>
      <c r="K17" s="5"/>
    </row>
    <row r="18" customFormat="false" ht="28.35" hidden="false" customHeight="false" outlineLevel="0" collapsed="false">
      <c r="A18" s="5" t="s">
        <v>125</v>
      </c>
      <c r="B18" s="5" t="s">
        <v>126</v>
      </c>
      <c r="C18" s="5" t="s">
        <v>127</v>
      </c>
      <c r="D18" s="5" t="s">
        <v>128</v>
      </c>
      <c r="E18" s="5" t="s">
        <v>129</v>
      </c>
      <c r="F18" s="5" t="s">
        <v>122</v>
      </c>
      <c r="G18" s="5" t="s">
        <v>130</v>
      </c>
      <c r="H18" s="5" t="s">
        <v>124</v>
      </c>
      <c r="I18" s="5" t="s">
        <v>63</v>
      </c>
      <c r="J18" s="5"/>
      <c r="K18" s="5"/>
    </row>
    <row r="19" customFormat="false" ht="15" hidden="false" customHeight="false" outlineLevel="0" collapsed="false">
      <c r="A19" s="5" t="s">
        <v>131</v>
      </c>
      <c r="B19" s="5" t="s">
        <v>132</v>
      </c>
      <c r="C19" s="5" t="s">
        <v>133</v>
      </c>
      <c r="D19" s="5" t="s">
        <v>134</v>
      </c>
      <c r="E19" s="5" t="s">
        <v>135</v>
      </c>
      <c r="F19" s="5" t="s">
        <v>136</v>
      </c>
      <c r="G19" s="5" t="s">
        <v>137</v>
      </c>
      <c r="H19" s="5" t="s">
        <v>41</v>
      </c>
      <c r="I19" s="5" t="s">
        <v>34</v>
      </c>
      <c r="J19" s="5"/>
      <c r="K19" s="5"/>
    </row>
    <row r="20" customFormat="false" ht="15" hidden="false" customHeight="false" outlineLevel="0" collapsed="false">
      <c r="A20" s="5" t="s">
        <v>138</v>
      </c>
      <c r="B20" s="5" t="s">
        <v>139</v>
      </c>
      <c r="C20" s="5" t="s">
        <v>140</v>
      </c>
      <c r="D20" s="5" t="s">
        <v>141</v>
      </c>
      <c r="E20" s="5" t="s">
        <v>135</v>
      </c>
      <c r="F20" s="5" t="s">
        <v>136</v>
      </c>
      <c r="G20" s="5" t="s">
        <v>142</v>
      </c>
      <c r="H20" s="5" t="s">
        <v>41</v>
      </c>
      <c r="I20" s="5" t="s">
        <v>34</v>
      </c>
      <c r="J20" s="5"/>
      <c r="K20" s="5"/>
    </row>
    <row r="21" customFormat="false" ht="28.35" hidden="false" customHeight="false" outlineLevel="0" collapsed="false">
      <c r="A21" s="5" t="s">
        <v>143</v>
      </c>
      <c r="B21" s="5" t="s">
        <v>144</v>
      </c>
      <c r="C21" s="5" t="s">
        <v>145</v>
      </c>
      <c r="D21" s="5" t="s">
        <v>146</v>
      </c>
      <c r="E21" s="5" t="s">
        <v>147</v>
      </c>
      <c r="F21" s="5" t="s">
        <v>148</v>
      </c>
      <c r="G21" s="5" t="s">
        <v>149</v>
      </c>
      <c r="H21" s="5" t="s">
        <v>33</v>
      </c>
      <c r="I21" s="5" t="s">
        <v>34</v>
      </c>
      <c r="J21" s="5"/>
      <c r="K2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4"/>
    <col collapsed="false" customWidth="true" hidden="false" outlineLevel="0" max="9" min="8" style="0" width="12"/>
    <col collapsed="false" customWidth="true" hidden="false" outlineLevel="0" max="10" min="10" style="0" width="10"/>
    <col collapsed="false" customWidth="true" hidden="false" outlineLevel="0" max="11" min="11" style="0" width="48"/>
    <col collapsed="false" customWidth="true" hidden="false" outlineLevel="0" max="12" min="12" style="0" width="44"/>
    <col collapsed="false" customWidth="true" hidden="false" outlineLevel="0" max="13" min="13" style="0" width="10"/>
    <col collapsed="false" customWidth="true" hidden="false" outlineLevel="0" max="14" min="14" style="0" width="12"/>
    <col collapsed="false" customWidth="true" hidden="false" outlineLevel="0" max="17" min="15" style="0" width="11"/>
  </cols>
  <sheetData>
    <row r="1" customFormat="false" ht="39.55" hidden="false" customHeight="false" outlineLevel="0" collapsed="false">
      <c r="A1" s="4" t="s">
        <v>150</v>
      </c>
      <c r="B1" s="4" t="s">
        <v>151</v>
      </c>
      <c r="C1" s="4" t="s">
        <v>152</v>
      </c>
      <c r="D1" s="4" t="s">
        <v>153</v>
      </c>
      <c r="E1" s="4" t="s">
        <v>154</v>
      </c>
      <c r="F1" s="4" t="s">
        <v>155</v>
      </c>
      <c r="G1" s="4" t="s">
        <v>156</v>
      </c>
      <c r="H1" s="4" t="s">
        <v>157</v>
      </c>
      <c r="I1" s="4" t="s">
        <v>158</v>
      </c>
      <c r="J1" s="4" t="s">
        <v>159</v>
      </c>
      <c r="K1" s="4" t="s">
        <v>160</v>
      </c>
      <c r="L1" s="4" t="s">
        <v>161</v>
      </c>
      <c r="M1" s="4" t="s">
        <v>162</v>
      </c>
      <c r="N1" s="4" t="s">
        <v>24</v>
      </c>
      <c r="O1" s="4" t="s">
        <v>25</v>
      </c>
      <c r="P1" s="4" t="s">
        <v>163</v>
      </c>
      <c r="Q1" s="4" t="s">
        <v>164</v>
      </c>
    </row>
    <row r="2" customFormat="false" ht="28.35" hidden="false" customHeight="false" outlineLevel="0" collapsed="false">
      <c r="A2" s="5" t="s">
        <v>26</v>
      </c>
      <c r="B2" s="5" t="s">
        <v>165</v>
      </c>
      <c r="C2" s="5" t="s">
        <v>166</v>
      </c>
      <c r="D2" s="5" t="s">
        <v>167</v>
      </c>
      <c r="E2" s="6" t="n">
        <v>12</v>
      </c>
      <c r="F2" s="6" t="s">
        <v>168</v>
      </c>
      <c r="G2" s="7" t="n">
        <f aca="false">IF(OR(E2="",F2="",F2="TRQ",D2&lt;&gt;"ad_valorem"),"cần kiểm thêm",IF(F2="A",0,E2*MAX(0,INDEX(staging!$B$2:$B$5,MATCH(F2,staging!$A$2:$A$5,0))-staging!$E$2)/INDEX(staging!$B$2:$B$5,MATCH(F2,staging!$A$2:$A$5,0))))</f>
        <v>0</v>
      </c>
      <c r="H2" s="7" t="n">
        <f aca="false">IF(ISNUMBER(G2),E2-G2,"")</f>
        <v>12</v>
      </c>
      <c r="I2" s="5" t="str">
        <f aca="false">IF(F2="A","2020-08-01",IF(ISNUMBER(MATCH(F2,staging!$A$2:$A$5,0)),(2020+INDEX(staging!$B$2:$B$5,MATCH(F2,staging!$A$2:$A$5,0))-1)&amp;"-01-01",""))</f>
        <v>2020-08-01</v>
      </c>
      <c r="J2" s="5" t="s">
        <v>169</v>
      </c>
      <c r="K2" s="5" t="s">
        <v>170</v>
      </c>
      <c r="L2" s="5" t="s">
        <v>171</v>
      </c>
      <c r="M2" s="5" t="s">
        <v>168</v>
      </c>
      <c r="N2" s="5"/>
      <c r="O2" s="5"/>
      <c r="P2" s="5" t="s">
        <v>172</v>
      </c>
      <c r="Q2" s="5" t="s">
        <v>173</v>
      </c>
    </row>
    <row r="3" customFormat="false" ht="28.35" hidden="false" customHeight="false" outlineLevel="0" collapsed="false">
      <c r="A3" s="5" t="s">
        <v>35</v>
      </c>
      <c r="B3" s="5" t="s">
        <v>36</v>
      </c>
      <c r="C3" s="5" t="s">
        <v>166</v>
      </c>
      <c r="D3" s="5" t="s">
        <v>167</v>
      </c>
      <c r="E3" s="6" t="n">
        <v>20</v>
      </c>
      <c r="F3" s="6" t="s">
        <v>174</v>
      </c>
      <c r="G3" s="7" t="n">
        <f aca="false">IF(OR(E3="",F3="",F3="TRQ",D3&lt;&gt;"ad_valorem"),"cần kiểm thêm",IF(F3="A",0,E3*MAX(0,INDEX(staging!$B$2:$B$5,MATCH(F3,staging!$A$2:$A$5,0))-staging!$E$2)/INDEX(staging!$B$2:$B$5,MATCH(F3,staging!$A$2:$A$5,0))))</f>
        <v>2.5</v>
      </c>
      <c r="H3" s="7" t="n">
        <f aca="false">IF(ISNUMBER(G3),E3-G3,"")</f>
        <v>17.5</v>
      </c>
      <c r="I3" s="5" t="str">
        <f aca="false">IF(F3="A","2020-08-01",IF(ISNUMBER(MATCH(F3,staging!$A$2:$A$5,0)),(2020+INDEX(staging!$B$2:$B$5,MATCH(F3,staging!$A$2:$A$5,0))-1)&amp;"-01-01",""))</f>
        <v>2027-01-01</v>
      </c>
      <c r="J3" s="5" t="s">
        <v>169</v>
      </c>
      <c r="K3" s="5" t="s">
        <v>175</v>
      </c>
      <c r="L3" s="5" t="s">
        <v>176</v>
      </c>
      <c r="M3" s="5" t="s">
        <v>177</v>
      </c>
      <c r="N3" s="5"/>
      <c r="O3" s="5"/>
      <c r="P3" s="5" t="s">
        <v>172</v>
      </c>
      <c r="Q3" s="5" t="s">
        <v>173</v>
      </c>
    </row>
    <row r="4" customFormat="false" ht="15" hidden="false" customHeight="false" outlineLevel="0" collapsed="false">
      <c r="A4" s="5" t="s">
        <v>42</v>
      </c>
      <c r="B4" s="5" t="s">
        <v>43</v>
      </c>
      <c r="C4" s="5" t="s">
        <v>166</v>
      </c>
      <c r="D4" s="5" t="s">
        <v>167</v>
      </c>
      <c r="E4" s="6" t="n">
        <v>20</v>
      </c>
      <c r="F4" s="6" t="s">
        <v>174</v>
      </c>
      <c r="G4" s="7" t="n">
        <f aca="false">IF(OR(E4="",F4="",F4="TRQ",D4&lt;&gt;"ad_valorem"),"cần kiểm thêm",IF(F4="A",0,E4*MAX(0,INDEX(staging!$B$2:$B$5,MATCH(F4,staging!$A$2:$A$5,0))-staging!$E$2)/INDEX(staging!$B$2:$B$5,MATCH(F4,staging!$A$2:$A$5,0))))</f>
        <v>2.5</v>
      </c>
      <c r="H4" s="7" t="n">
        <f aca="false">IF(ISNUMBER(G4),E4-G4,"")</f>
        <v>17.5</v>
      </c>
      <c r="I4" s="5" t="str">
        <f aca="false">IF(F4="A","2020-08-01",IF(ISNUMBER(MATCH(F4,staging!$A$2:$A$5,0)),(2020+INDEX(staging!$B$2:$B$5,MATCH(F4,staging!$A$2:$A$5,0))-1)&amp;"-01-01",""))</f>
        <v>2027-01-01</v>
      </c>
      <c r="J4" s="5" t="s">
        <v>169</v>
      </c>
      <c r="K4" s="5" t="s">
        <v>178</v>
      </c>
      <c r="L4" s="5" t="s">
        <v>46</v>
      </c>
      <c r="M4" s="5" t="s">
        <v>179</v>
      </c>
      <c r="N4" s="5"/>
      <c r="O4" s="5"/>
      <c r="P4" s="5" t="s">
        <v>172</v>
      </c>
      <c r="Q4" s="5" t="s">
        <v>173</v>
      </c>
    </row>
    <row r="5" customFormat="false" ht="28.35" hidden="false" customHeight="false" outlineLevel="0" collapsed="false">
      <c r="A5" s="5" t="s">
        <v>47</v>
      </c>
      <c r="B5" s="5" t="s">
        <v>48</v>
      </c>
      <c r="C5" s="5" t="s">
        <v>166</v>
      </c>
      <c r="D5" s="5" t="s">
        <v>167</v>
      </c>
      <c r="E5" s="6" t="n">
        <v>9</v>
      </c>
      <c r="F5" s="6" t="s">
        <v>180</v>
      </c>
      <c r="G5" s="7" t="n">
        <f aca="false">IF(OR(E5="",F5="",F5="TRQ",D5&lt;&gt;"ad_valorem"),"cần kiểm thêm",IF(F5="A",0,E5*MAX(0,INDEX(staging!$B$2:$B$5,MATCH(F5,staging!$A$2:$A$5,0))-staging!$E$2)/INDEX(staging!$B$2:$B$5,MATCH(F5,staging!$A$2:$A$5,0))))</f>
        <v>0</v>
      </c>
      <c r="H5" s="7" t="n">
        <f aca="false">IF(ISNUMBER(G5),E5-G5,"")</f>
        <v>9</v>
      </c>
      <c r="I5" s="5" t="str">
        <f aca="false">IF(F5="A","2020-08-01",IF(ISNUMBER(MATCH(F5,staging!$A$2:$A$5,0)),(2020+INDEX(staging!$B$2:$B$5,MATCH(F5,staging!$A$2:$A$5,0))-1)&amp;"-01-01",""))</f>
        <v>2023-01-01</v>
      </c>
      <c r="J5" s="5" t="s">
        <v>169</v>
      </c>
      <c r="K5" s="5" t="s">
        <v>181</v>
      </c>
      <c r="L5" s="5" t="s">
        <v>182</v>
      </c>
      <c r="M5" s="5" t="s">
        <v>179</v>
      </c>
      <c r="N5" s="5"/>
      <c r="O5" s="5"/>
      <c r="P5" s="5" t="s">
        <v>172</v>
      </c>
      <c r="Q5" s="5" t="s">
        <v>173</v>
      </c>
    </row>
    <row r="6" customFormat="false" ht="15" hidden="false" customHeight="false" outlineLevel="0" collapsed="false">
      <c r="A6" s="5" t="s">
        <v>52</v>
      </c>
      <c r="B6" s="5" t="s">
        <v>53</v>
      </c>
      <c r="C6" s="5" t="s">
        <v>166</v>
      </c>
      <c r="D6" s="5" t="s">
        <v>167</v>
      </c>
      <c r="E6" s="6" t="n">
        <v>18</v>
      </c>
      <c r="F6" s="6" t="s">
        <v>180</v>
      </c>
      <c r="G6" s="7" t="n">
        <f aca="false">IF(OR(E6="",F6="",F6="TRQ",D6&lt;&gt;"ad_valorem"),"cần kiểm thêm",IF(F6="A",0,E6*MAX(0,INDEX(staging!$B$2:$B$5,MATCH(F6,staging!$A$2:$A$5,0))-staging!$E$2)/INDEX(staging!$B$2:$B$5,MATCH(F6,staging!$A$2:$A$5,0))))</f>
        <v>0</v>
      </c>
      <c r="H6" s="7" t="n">
        <f aca="false">IF(ISNUMBER(G6),E6-G6,"")</f>
        <v>18</v>
      </c>
      <c r="I6" s="5" t="str">
        <f aca="false">IF(F6="A","2020-08-01",IF(ISNUMBER(MATCH(F6,staging!$A$2:$A$5,0)),(2020+INDEX(staging!$B$2:$B$5,MATCH(F6,staging!$A$2:$A$5,0))-1)&amp;"-01-01",""))</f>
        <v>2023-01-01</v>
      </c>
      <c r="J6" s="5" t="s">
        <v>169</v>
      </c>
      <c r="K6" s="5" t="s">
        <v>183</v>
      </c>
      <c r="L6" s="5" t="s">
        <v>184</v>
      </c>
      <c r="M6" s="5" t="s">
        <v>168</v>
      </c>
      <c r="N6" s="5"/>
      <c r="O6" s="5"/>
      <c r="P6" s="5" t="s">
        <v>172</v>
      </c>
      <c r="Q6" s="5" t="s">
        <v>173</v>
      </c>
    </row>
    <row r="7" customFormat="false" ht="28.35" hidden="false" customHeight="false" outlineLevel="0" collapsed="false">
      <c r="A7" s="5" t="s">
        <v>57</v>
      </c>
      <c r="B7" s="5" t="s">
        <v>58</v>
      </c>
      <c r="C7" s="5" t="s">
        <v>166</v>
      </c>
      <c r="D7" s="5" t="s">
        <v>167</v>
      </c>
      <c r="E7" s="6" t="n">
        <v>24</v>
      </c>
      <c r="F7" s="6" t="s">
        <v>185</v>
      </c>
      <c r="G7" s="7" t="str">
        <f aca="false">IF(OR(E7="",F7="",F7="TRQ",D7&lt;&gt;"ad_valorem"),"cần kiểm thêm",IF(F7="A",0,E7*MAX(0,INDEX(staging!$B$2:$B$5,MATCH(F7,staging!$A$2:$A$5,0))-staging!$E$2)/INDEX(staging!$B$2:$B$5,MATCH(F7,staging!$A$2:$A$5,0))))</f>
        <v>cần kiểm thêm</v>
      </c>
      <c r="H7" s="7" t="str">
        <f aca="false">IF(ISNUMBER(G7),E7-G7,"")</f>
        <v/>
      </c>
      <c r="I7" s="5" t="str">
        <f aca="false">IF(F7="A","2020-08-01",IF(ISNUMBER(MATCH(F7,staging!$A$2:$A$5,0)),(2020+INDEX(staging!$B$2:$B$5,MATCH(F7,staging!$A$2:$A$5,0))-1)&amp;"-01-01",""))</f>
        <v/>
      </c>
      <c r="J7" s="5" t="s">
        <v>34</v>
      </c>
      <c r="K7" s="5" t="s">
        <v>186</v>
      </c>
      <c r="L7" s="5" t="s">
        <v>184</v>
      </c>
      <c r="M7" s="5" t="s">
        <v>168</v>
      </c>
      <c r="N7" s="5"/>
      <c r="O7" s="5"/>
      <c r="P7" s="5" t="s">
        <v>172</v>
      </c>
      <c r="Q7" s="5" t="s">
        <v>173</v>
      </c>
    </row>
    <row r="8" customFormat="false" ht="28.35" hidden="false" customHeight="false" outlineLevel="0" collapsed="false">
      <c r="A8" s="5" t="s">
        <v>64</v>
      </c>
      <c r="B8" s="5" t="s">
        <v>65</v>
      </c>
      <c r="C8" s="5" t="s">
        <v>166</v>
      </c>
      <c r="D8" s="5" t="s">
        <v>167</v>
      </c>
      <c r="E8" s="6" t="n">
        <v>8</v>
      </c>
      <c r="F8" s="6" t="s">
        <v>168</v>
      </c>
      <c r="G8" s="7" t="n">
        <f aca="false">IF(OR(E8="",F8="",F8="TRQ",D8&lt;&gt;"ad_valorem"),"cần kiểm thêm",IF(F8="A",0,E8*MAX(0,INDEX(staging!$B$2:$B$5,MATCH(F8,staging!$A$2:$A$5,0))-staging!$E$2)/INDEX(staging!$B$2:$B$5,MATCH(F8,staging!$A$2:$A$5,0))))</f>
        <v>0</v>
      </c>
      <c r="H8" s="7" t="n">
        <f aca="false">IF(ISNUMBER(G8),E8-G8,"")</f>
        <v>8</v>
      </c>
      <c r="I8" s="5" t="str">
        <f aca="false">IF(F8="A","2020-08-01",IF(ISNUMBER(MATCH(F8,staging!$A$2:$A$5,0)),(2020+INDEX(staging!$B$2:$B$5,MATCH(F8,staging!$A$2:$A$5,0))-1)&amp;"-01-01",""))</f>
        <v>2020-08-01</v>
      </c>
      <c r="J8" s="5" t="s">
        <v>169</v>
      </c>
      <c r="K8" s="5" t="s">
        <v>187</v>
      </c>
      <c r="L8" s="5" t="s">
        <v>188</v>
      </c>
      <c r="M8" s="5" t="s">
        <v>177</v>
      </c>
      <c r="N8" s="5"/>
      <c r="O8" s="5"/>
      <c r="P8" s="5" t="s">
        <v>172</v>
      </c>
      <c r="Q8" s="5" t="s">
        <v>173</v>
      </c>
    </row>
    <row r="9" customFormat="false" ht="15" hidden="false" customHeight="false" outlineLevel="0" collapsed="false">
      <c r="A9" s="5" t="s">
        <v>69</v>
      </c>
      <c r="B9" s="5" t="s">
        <v>70</v>
      </c>
      <c r="C9" s="5" t="s">
        <v>166</v>
      </c>
      <c r="D9" s="5" t="s">
        <v>167</v>
      </c>
      <c r="E9" s="6" t="n">
        <v>0</v>
      </c>
      <c r="F9" s="6" t="s">
        <v>168</v>
      </c>
      <c r="G9" s="7" t="n">
        <f aca="false">IF(OR(E9="",F9="",F9="TRQ",D9&lt;&gt;"ad_valorem"),"cần kiểm thêm",IF(F9="A",0,E9*MAX(0,INDEX(staging!$B$2:$B$5,MATCH(F9,staging!$A$2:$A$5,0))-staging!$E$2)/INDEX(staging!$B$2:$B$5,MATCH(F9,staging!$A$2:$A$5,0))))</f>
        <v>0</v>
      </c>
      <c r="H9" s="7" t="n">
        <f aca="false">IF(ISNUMBER(G9),E9-G9,"")</f>
        <v>0</v>
      </c>
      <c r="I9" s="5" t="str">
        <f aca="false">IF(F9="A","2020-08-01",IF(ISNUMBER(MATCH(F9,staging!$A$2:$A$5,0)),(2020+INDEX(staging!$B$2:$B$5,MATCH(F9,staging!$A$2:$A$5,0))-1)&amp;"-01-01",""))</f>
        <v>2020-08-01</v>
      </c>
      <c r="J9" s="5" t="s">
        <v>169</v>
      </c>
      <c r="K9" s="5" t="s">
        <v>189</v>
      </c>
      <c r="L9" s="5" t="s">
        <v>190</v>
      </c>
      <c r="M9" s="5" t="s">
        <v>179</v>
      </c>
      <c r="N9" s="5"/>
      <c r="O9" s="5"/>
      <c r="P9" s="5" t="s">
        <v>172</v>
      </c>
      <c r="Q9" s="5" t="s">
        <v>173</v>
      </c>
    </row>
    <row r="10" customFormat="false" ht="15" hidden="false" customHeight="false" outlineLevel="0" collapsed="false">
      <c r="A10" s="5" t="s">
        <v>76</v>
      </c>
      <c r="B10" s="5" t="s">
        <v>77</v>
      </c>
      <c r="C10" s="5" t="s">
        <v>166</v>
      </c>
      <c r="D10" s="5" t="s">
        <v>167</v>
      </c>
      <c r="E10" s="6" t="n">
        <v>7.5</v>
      </c>
      <c r="F10" s="6" t="s">
        <v>168</v>
      </c>
      <c r="G10" s="7" t="n">
        <f aca="false">IF(OR(E10="",F10="",F10="TRQ",D10&lt;&gt;"ad_valorem"),"cần kiểm thêm",IF(F10="A",0,E10*MAX(0,INDEX(staging!$B$2:$B$5,MATCH(F10,staging!$A$2:$A$5,0))-staging!$E$2)/INDEX(staging!$B$2:$B$5,MATCH(F10,staging!$A$2:$A$5,0))))</f>
        <v>0</v>
      </c>
      <c r="H10" s="7" t="n">
        <f aca="false">IF(ISNUMBER(G10),E10-G10,"")</f>
        <v>7.5</v>
      </c>
      <c r="I10" s="5" t="str">
        <f aca="false">IF(F10="A","2020-08-01",IF(ISNUMBER(MATCH(F10,staging!$A$2:$A$5,0)),(2020+INDEX(staging!$B$2:$B$5,MATCH(F10,staging!$A$2:$A$5,0))-1)&amp;"-01-01",""))</f>
        <v>2020-08-01</v>
      </c>
      <c r="J10" s="5" t="s">
        <v>169</v>
      </c>
      <c r="K10" s="5"/>
      <c r="L10" s="5" t="s">
        <v>190</v>
      </c>
      <c r="M10" s="5" t="s">
        <v>179</v>
      </c>
      <c r="N10" s="5"/>
      <c r="O10" s="5"/>
      <c r="P10" s="5" t="s">
        <v>172</v>
      </c>
      <c r="Q10" s="5" t="s">
        <v>173</v>
      </c>
    </row>
    <row r="11" customFormat="false" ht="15" hidden="false" customHeight="false" outlineLevel="0" collapsed="false">
      <c r="A11" s="5" t="s">
        <v>81</v>
      </c>
      <c r="B11" s="5" t="s">
        <v>82</v>
      </c>
      <c r="C11" s="5" t="s">
        <v>166</v>
      </c>
      <c r="D11" s="5" t="s">
        <v>167</v>
      </c>
      <c r="E11" s="6" t="n">
        <v>9</v>
      </c>
      <c r="F11" s="8"/>
      <c r="G11" s="7" t="str">
        <f aca="false">IF(OR(E11="",F11="",F11="TRQ",D11&lt;&gt;"ad_valorem"),"cần kiểm thêm",IF(F11="A",0,E11*MAX(0,INDEX(staging!$B$2:$B$5,MATCH(F11,staging!$A$2:$A$5,0))-staging!$E$2)/INDEX(staging!$B$2:$B$5,MATCH(F11,staging!$A$2:$A$5,0))))</f>
        <v>cần kiểm thêm</v>
      </c>
      <c r="H11" s="7" t="str">
        <f aca="false">IF(ISNUMBER(G11),E11-G11,"")</f>
        <v/>
      </c>
      <c r="I11" s="5" t="str">
        <f aca="false">IF(F11="A","2020-08-01",IF(ISNUMBER(MATCH(F11,staging!$A$2:$A$5,0)),(2020+INDEX(staging!$B$2:$B$5,MATCH(F11,staging!$A$2:$A$5,0))-1)&amp;"-01-01",""))</f>
        <v/>
      </c>
      <c r="J11" s="5" t="s">
        <v>169</v>
      </c>
      <c r="K11" s="5" t="s">
        <v>191</v>
      </c>
      <c r="L11" s="5" t="s">
        <v>192</v>
      </c>
      <c r="M11" s="5" t="s">
        <v>179</v>
      </c>
      <c r="N11" s="5"/>
      <c r="O11" s="5"/>
      <c r="P11" s="5" t="s">
        <v>172</v>
      </c>
      <c r="Q11" s="5" t="s">
        <v>173</v>
      </c>
    </row>
    <row r="12" customFormat="false" ht="15" hidden="false" customHeight="false" outlineLevel="0" collapsed="false">
      <c r="A12" s="5" t="s">
        <v>88</v>
      </c>
      <c r="B12" s="5" t="s">
        <v>89</v>
      </c>
      <c r="C12" s="5" t="s">
        <v>166</v>
      </c>
      <c r="D12" s="5" t="s">
        <v>167</v>
      </c>
      <c r="E12" s="6" t="n">
        <v>0</v>
      </c>
      <c r="F12" s="6" t="s">
        <v>168</v>
      </c>
      <c r="G12" s="7" t="n">
        <f aca="false">IF(OR(E12="",F12="",F12="TRQ",D12&lt;&gt;"ad_valorem"),"cần kiểm thêm",IF(F12="A",0,E12*MAX(0,INDEX(staging!$B$2:$B$5,MATCH(F12,staging!$A$2:$A$5,0))-staging!$E$2)/INDEX(staging!$B$2:$B$5,MATCH(F12,staging!$A$2:$A$5,0))))</f>
        <v>0</v>
      </c>
      <c r="H12" s="7" t="n">
        <f aca="false">IF(ISNUMBER(G12),E12-G12,"")</f>
        <v>0</v>
      </c>
      <c r="I12" s="5" t="str">
        <f aca="false">IF(F12="A","2020-08-01",IF(ISNUMBER(MATCH(F12,staging!$A$2:$A$5,0)),(2020+INDEX(staging!$B$2:$B$5,MATCH(F12,staging!$A$2:$A$5,0))-1)&amp;"-01-01",""))</f>
        <v>2020-08-01</v>
      </c>
      <c r="J12" s="5" t="s">
        <v>169</v>
      </c>
      <c r="K12" s="5" t="s">
        <v>193</v>
      </c>
      <c r="L12" s="5" t="s">
        <v>190</v>
      </c>
      <c r="M12" s="5" t="s">
        <v>179</v>
      </c>
      <c r="N12" s="5"/>
      <c r="O12" s="5"/>
      <c r="P12" s="5" t="s">
        <v>172</v>
      </c>
      <c r="Q12" s="5" t="s">
        <v>173</v>
      </c>
    </row>
    <row r="13" customFormat="false" ht="15" hidden="false" customHeight="false" outlineLevel="0" collapsed="false">
      <c r="A13" s="5" t="s">
        <v>93</v>
      </c>
      <c r="B13" s="5" t="s">
        <v>94</v>
      </c>
      <c r="C13" s="5" t="s">
        <v>166</v>
      </c>
      <c r="D13" s="5" t="s">
        <v>167</v>
      </c>
      <c r="E13" s="6" t="n">
        <v>0</v>
      </c>
      <c r="F13" s="6" t="s">
        <v>168</v>
      </c>
      <c r="G13" s="7" t="n">
        <f aca="false">IF(OR(E13="",F13="",F13="TRQ",D13&lt;&gt;"ad_valorem"),"cần kiểm thêm",IF(F13="A",0,E13*MAX(0,INDEX(staging!$B$2:$B$5,MATCH(F13,staging!$A$2:$A$5,0))-staging!$E$2)/INDEX(staging!$B$2:$B$5,MATCH(F13,staging!$A$2:$A$5,0))))</f>
        <v>0</v>
      </c>
      <c r="H13" s="7" t="n">
        <f aca="false">IF(ISNUMBER(G13),E13-G13,"")</f>
        <v>0</v>
      </c>
      <c r="I13" s="5" t="str">
        <f aca="false">IF(F13="A","2020-08-01",IF(ISNUMBER(MATCH(F13,staging!$A$2:$A$5,0)),(2020+INDEX(staging!$B$2:$B$5,MATCH(F13,staging!$A$2:$A$5,0))-1)&amp;"-01-01",""))</f>
        <v>2020-08-01</v>
      </c>
      <c r="J13" s="5" t="s">
        <v>169</v>
      </c>
      <c r="K13" s="5" t="s">
        <v>193</v>
      </c>
      <c r="L13" s="5" t="s">
        <v>190</v>
      </c>
      <c r="M13" s="5" t="s">
        <v>179</v>
      </c>
      <c r="N13" s="5"/>
      <c r="O13" s="5"/>
      <c r="P13" s="5" t="s">
        <v>172</v>
      </c>
      <c r="Q13" s="5" t="s">
        <v>173</v>
      </c>
    </row>
    <row r="14" customFormat="false" ht="28.35" hidden="false" customHeight="false" outlineLevel="0" collapsed="false">
      <c r="A14" s="5" t="s">
        <v>98</v>
      </c>
      <c r="B14" s="5" t="s">
        <v>99</v>
      </c>
      <c r="C14" s="5" t="s">
        <v>166</v>
      </c>
      <c r="D14" s="5" t="s">
        <v>167</v>
      </c>
      <c r="E14" s="6" t="n">
        <v>0</v>
      </c>
      <c r="F14" s="6" t="s">
        <v>168</v>
      </c>
      <c r="G14" s="7" t="n">
        <f aca="false">IF(OR(E14="",F14="",F14="TRQ",D14&lt;&gt;"ad_valorem"),"cần kiểm thêm",IF(F14="A",0,E14*MAX(0,INDEX(staging!$B$2:$B$5,MATCH(F14,staging!$A$2:$A$5,0))-staging!$E$2)/INDEX(staging!$B$2:$B$5,MATCH(F14,staging!$A$2:$A$5,0))))</f>
        <v>0</v>
      </c>
      <c r="H14" s="7" t="n">
        <f aca="false">IF(ISNUMBER(G14),E14-G14,"")</f>
        <v>0</v>
      </c>
      <c r="I14" s="5" t="str">
        <f aca="false">IF(F14="A","2020-08-01",IF(ISNUMBER(MATCH(F14,staging!$A$2:$A$5,0)),(2020+INDEX(staging!$B$2:$B$5,MATCH(F14,staging!$A$2:$A$5,0))-1)&amp;"-01-01",""))</f>
        <v>2020-08-01</v>
      </c>
      <c r="J14" s="5" t="s">
        <v>169</v>
      </c>
      <c r="K14" s="5" t="s">
        <v>194</v>
      </c>
      <c r="L14" s="5" t="s">
        <v>190</v>
      </c>
      <c r="M14" s="5" t="s">
        <v>179</v>
      </c>
      <c r="N14" s="5"/>
      <c r="O14" s="5"/>
      <c r="P14" s="5" t="s">
        <v>172</v>
      </c>
      <c r="Q14" s="5" t="s">
        <v>173</v>
      </c>
    </row>
    <row r="15" customFormat="false" ht="55.2" hidden="false" customHeight="false" outlineLevel="0" collapsed="false">
      <c r="A15" s="5" t="s">
        <v>103</v>
      </c>
      <c r="B15" s="5" t="s">
        <v>104</v>
      </c>
      <c r="C15" s="5" t="s">
        <v>166</v>
      </c>
      <c r="D15" s="5" t="s">
        <v>195</v>
      </c>
      <c r="E15" s="8"/>
      <c r="F15" s="6" t="s">
        <v>185</v>
      </c>
      <c r="G15" s="7" t="str">
        <f aca="false">IF(OR(E15="",F15="",F15="TRQ",D15&lt;&gt;"ad_valorem"),"cần kiểm thêm",IF(F15="A",0,E15*MAX(0,INDEX(staging!$B$2:$B$5,MATCH(F15,staging!$A$2:$A$5,0))-staging!$E$2)/INDEX(staging!$B$2:$B$5,MATCH(F15,staging!$A$2:$A$5,0))))</f>
        <v>cần kiểm thêm</v>
      </c>
      <c r="H15" s="7" t="str">
        <f aca="false">IF(ISNUMBER(G15),E15-G15,"")</f>
        <v/>
      </c>
      <c r="I15" s="5" t="str">
        <f aca="false">IF(F15="A","2020-08-01",IF(ISNUMBER(MATCH(F15,staging!$A$2:$A$5,0)),(2020+INDEX(staging!$B$2:$B$5,MATCH(F15,staging!$A$2:$A$5,0))-1)&amp;"-01-01",""))</f>
        <v/>
      </c>
      <c r="J15" s="5" t="s">
        <v>34</v>
      </c>
      <c r="K15" s="5" t="s">
        <v>196</v>
      </c>
      <c r="L15" s="5" t="s">
        <v>197</v>
      </c>
      <c r="M15" s="5" t="s">
        <v>177</v>
      </c>
      <c r="N15" s="5"/>
      <c r="O15" s="5"/>
      <c r="P15" s="5" t="s">
        <v>172</v>
      </c>
      <c r="Q15" s="5" t="s">
        <v>173</v>
      </c>
    </row>
    <row r="16" customFormat="false" ht="28.35" hidden="false" customHeight="false" outlineLevel="0" collapsed="false">
      <c r="A16" s="5" t="s">
        <v>110</v>
      </c>
      <c r="B16" s="5" t="s">
        <v>111</v>
      </c>
      <c r="C16" s="5" t="s">
        <v>166</v>
      </c>
      <c r="D16" s="5" t="s">
        <v>198</v>
      </c>
      <c r="E16" s="8"/>
      <c r="F16" s="8"/>
      <c r="G16" s="7" t="str">
        <f aca="false">IF(OR(E16="",F16="",F16="TRQ",D16&lt;&gt;"ad_valorem"),"cần kiểm thêm",IF(F16="A",0,E16*MAX(0,INDEX(staging!$B$2:$B$5,MATCH(F16,staging!$A$2:$A$5,0))-staging!$E$2)/INDEX(staging!$B$2:$B$5,MATCH(F16,staging!$A$2:$A$5,0))))</f>
        <v>cần kiểm thêm</v>
      </c>
      <c r="H16" s="7" t="str">
        <f aca="false">IF(ISNUMBER(G16),E16-G16,"")</f>
        <v/>
      </c>
      <c r="I16" s="5" t="str">
        <f aca="false">IF(F16="A","2020-08-01",IF(ISNUMBER(MATCH(F16,staging!$A$2:$A$5,0)),(2020+INDEX(staging!$B$2:$B$5,MATCH(F16,staging!$A$2:$A$5,0))-1)&amp;"-01-01",""))</f>
        <v/>
      </c>
      <c r="J16" s="5" t="s">
        <v>169</v>
      </c>
      <c r="K16" s="5" t="s">
        <v>199</v>
      </c>
      <c r="L16" s="5" t="s">
        <v>190</v>
      </c>
      <c r="M16" s="5" t="s">
        <v>179</v>
      </c>
      <c r="N16" s="5"/>
      <c r="O16" s="5"/>
      <c r="P16" s="5" t="s">
        <v>172</v>
      </c>
      <c r="Q16" s="5" t="s">
        <v>173</v>
      </c>
    </row>
    <row r="17" customFormat="false" ht="28.35" hidden="false" customHeight="false" outlineLevel="0" collapsed="false">
      <c r="A17" s="5" t="s">
        <v>117</v>
      </c>
      <c r="B17" s="5" t="s">
        <v>118</v>
      </c>
      <c r="C17" s="5" t="s">
        <v>166</v>
      </c>
      <c r="D17" s="5" t="s">
        <v>167</v>
      </c>
      <c r="E17" s="6" t="n">
        <v>12</v>
      </c>
      <c r="F17" s="8"/>
      <c r="G17" s="7" t="str">
        <f aca="false">IF(OR(E17="",F17="",F17="TRQ",D17&lt;&gt;"ad_valorem"),"cần kiểm thêm",IF(F17="A",0,E17*MAX(0,INDEX(staging!$B$2:$B$5,MATCH(F17,staging!$A$2:$A$5,0))-staging!$E$2)/INDEX(staging!$B$2:$B$5,MATCH(F17,staging!$A$2:$A$5,0))))</f>
        <v>cần kiểm thêm</v>
      </c>
      <c r="H17" s="7" t="str">
        <f aca="false">IF(ISNUMBER(G17),E17-G17,"")</f>
        <v/>
      </c>
      <c r="I17" s="5" t="str">
        <f aca="false">IF(F17="A","2020-08-01",IF(ISNUMBER(MATCH(F17,staging!$A$2:$A$5,0)),(2020+INDEX(staging!$B$2:$B$5,MATCH(F17,staging!$A$2:$A$5,0))-1)&amp;"-01-01",""))</f>
        <v/>
      </c>
      <c r="J17" s="5" t="s">
        <v>169</v>
      </c>
      <c r="K17" s="5" t="s">
        <v>200</v>
      </c>
      <c r="L17" s="5" t="s">
        <v>201</v>
      </c>
      <c r="M17" s="5" t="s">
        <v>177</v>
      </c>
      <c r="N17" s="5"/>
      <c r="O17" s="5"/>
      <c r="P17" s="5" t="s">
        <v>172</v>
      </c>
      <c r="Q17" s="5" t="s">
        <v>173</v>
      </c>
    </row>
    <row r="18" customFormat="false" ht="15" hidden="false" customHeight="false" outlineLevel="0" collapsed="false">
      <c r="A18" s="5" t="s">
        <v>125</v>
      </c>
      <c r="B18" s="5" t="s">
        <v>126</v>
      </c>
      <c r="C18" s="5" t="s">
        <v>166</v>
      </c>
      <c r="D18" s="5" t="s">
        <v>167</v>
      </c>
      <c r="E18" s="6" t="n">
        <v>12</v>
      </c>
      <c r="F18" s="8"/>
      <c r="G18" s="7" t="str">
        <f aca="false">IF(OR(E18="",F18="",F18="TRQ",D18&lt;&gt;"ad_valorem"),"cần kiểm thêm",IF(F18="A",0,E18*MAX(0,INDEX(staging!$B$2:$B$5,MATCH(F18,staging!$A$2:$A$5,0))-staging!$E$2)/INDEX(staging!$B$2:$B$5,MATCH(F18,staging!$A$2:$A$5,0))))</f>
        <v>cần kiểm thêm</v>
      </c>
      <c r="H18" s="7" t="str">
        <f aca="false">IF(ISNUMBER(G18),E18-G18,"")</f>
        <v/>
      </c>
      <c r="I18" s="5" t="str">
        <f aca="false">IF(F18="A","2020-08-01",IF(ISNUMBER(MATCH(F18,staging!$A$2:$A$5,0)),(2020+INDEX(staging!$B$2:$B$5,MATCH(F18,staging!$A$2:$A$5,0))-1)&amp;"-01-01",""))</f>
        <v/>
      </c>
      <c r="J18" s="5" t="s">
        <v>169</v>
      </c>
      <c r="K18" s="5" t="s">
        <v>46</v>
      </c>
      <c r="L18" s="5" t="s">
        <v>46</v>
      </c>
      <c r="M18" s="5" t="s">
        <v>177</v>
      </c>
      <c r="N18" s="5"/>
      <c r="O18" s="5"/>
      <c r="P18" s="5" t="s">
        <v>172</v>
      </c>
      <c r="Q18" s="5" t="s">
        <v>173</v>
      </c>
    </row>
    <row r="19" customFormat="false" ht="15" hidden="false" customHeight="false" outlineLevel="0" collapsed="false">
      <c r="A19" s="5" t="s">
        <v>131</v>
      </c>
      <c r="B19" s="5" t="s">
        <v>132</v>
      </c>
      <c r="C19" s="5" t="s">
        <v>166</v>
      </c>
      <c r="D19" s="5" t="s">
        <v>167</v>
      </c>
      <c r="E19" s="6" t="n">
        <v>8</v>
      </c>
      <c r="F19" s="8"/>
      <c r="G19" s="7" t="str">
        <f aca="false">IF(OR(E19="",F19="",F19="TRQ",D19&lt;&gt;"ad_valorem"),"cần kiểm thêm",IF(F19="A",0,E19*MAX(0,INDEX(staging!$B$2:$B$5,MATCH(F19,staging!$A$2:$A$5,0))-staging!$E$2)/INDEX(staging!$B$2:$B$5,MATCH(F19,staging!$A$2:$A$5,0))))</f>
        <v>cần kiểm thêm</v>
      </c>
      <c r="H19" s="7" t="str">
        <f aca="false">IF(ISNUMBER(G19),E19-G19,"")</f>
        <v/>
      </c>
      <c r="I19" s="5" t="str">
        <f aca="false">IF(F19="A","2020-08-01",IF(ISNUMBER(MATCH(F19,staging!$A$2:$A$5,0)),(2020+INDEX(staging!$B$2:$B$5,MATCH(F19,staging!$A$2:$A$5,0))-1)&amp;"-01-01",""))</f>
        <v/>
      </c>
      <c r="J19" s="5" t="s">
        <v>169</v>
      </c>
      <c r="K19" s="5" t="s">
        <v>202</v>
      </c>
      <c r="L19" s="5" t="s">
        <v>192</v>
      </c>
      <c r="M19" s="5" t="s">
        <v>179</v>
      </c>
      <c r="N19" s="5"/>
      <c r="O19" s="5"/>
      <c r="P19" s="5" t="s">
        <v>172</v>
      </c>
      <c r="Q19" s="5" t="s">
        <v>173</v>
      </c>
    </row>
    <row r="20" customFormat="false" ht="15" hidden="false" customHeight="false" outlineLevel="0" collapsed="false">
      <c r="A20" s="5" t="s">
        <v>138</v>
      </c>
      <c r="B20" s="5" t="s">
        <v>139</v>
      </c>
      <c r="C20" s="5" t="s">
        <v>166</v>
      </c>
      <c r="D20" s="5" t="s">
        <v>167</v>
      </c>
      <c r="E20" s="6" t="n">
        <v>16.9</v>
      </c>
      <c r="F20" s="8"/>
      <c r="G20" s="7" t="str">
        <f aca="false">IF(OR(E20="",F20="",F20="TRQ",D20&lt;&gt;"ad_valorem"),"cần kiểm thêm",IF(F20="A",0,E20*MAX(0,INDEX(staging!$B$2:$B$5,MATCH(F20,staging!$A$2:$A$5,0))-staging!$E$2)/INDEX(staging!$B$2:$B$5,MATCH(F20,staging!$A$2:$A$5,0))))</f>
        <v>cần kiểm thêm</v>
      </c>
      <c r="H20" s="7" t="str">
        <f aca="false">IF(ISNUMBER(G20),E20-G20,"")</f>
        <v/>
      </c>
      <c r="I20" s="5" t="str">
        <f aca="false">IF(F20="A","2020-08-01",IF(ISNUMBER(MATCH(F20,staging!$A$2:$A$5,0)),(2020+INDEX(staging!$B$2:$B$5,MATCH(F20,staging!$A$2:$A$5,0))-1)&amp;"-01-01",""))</f>
        <v/>
      </c>
      <c r="J20" s="5" t="s">
        <v>169</v>
      </c>
      <c r="K20" s="5"/>
      <c r="L20" s="5" t="s">
        <v>192</v>
      </c>
      <c r="M20" s="5" t="s">
        <v>179</v>
      </c>
      <c r="N20" s="5"/>
      <c r="O20" s="5"/>
      <c r="P20" s="5" t="s">
        <v>172</v>
      </c>
      <c r="Q20" s="5" t="s">
        <v>173</v>
      </c>
    </row>
    <row r="21" customFormat="false" ht="15" hidden="false" customHeight="false" outlineLevel="0" collapsed="false">
      <c r="A21" s="5" t="s">
        <v>143</v>
      </c>
      <c r="B21" s="5" t="s">
        <v>144</v>
      </c>
      <c r="C21" s="5" t="s">
        <v>166</v>
      </c>
      <c r="D21" s="5" t="s">
        <v>167</v>
      </c>
      <c r="E21" s="6" t="n">
        <v>0</v>
      </c>
      <c r="F21" s="6" t="s">
        <v>168</v>
      </c>
      <c r="G21" s="7" t="n">
        <f aca="false">IF(OR(E21="",F21="",F21="TRQ",D21&lt;&gt;"ad_valorem"),"cần kiểm thêm",IF(F21="A",0,E21*MAX(0,INDEX(staging!$B$2:$B$5,MATCH(F21,staging!$A$2:$A$5,0))-staging!$E$2)/INDEX(staging!$B$2:$B$5,MATCH(F21,staging!$A$2:$A$5,0))))</f>
        <v>0</v>
      </c>
      <c r="H21" s="7" t="n">
        <f aca="false">IF(ISNUMBER(G21),E21-G21,"")</f>
        <v>0</v>
      </c>
      <c r="I21" s="5" t="str">
        <f aca="false">IF(F21="A","2020-08-01",IF(ISNUMBER(MATCH(F21,staging!$A$2:$A$5,0)),(2020+INDEX(staging!$B$2:$B$5,MATCH(F21,staging!$A$2:$A$5,0))-1)&amp;"-01-01",""))</f>
        <v>2020-08-01</v>
      </c>
      <c r="J21" s="5" t="s">
        <v>169</v>
      </c>
      <c r="K21" s="5" t="s">
        <v>193</v>
      </c>
      <c r="L21" s="5" t="s">
        <v>190</v>
      </c>
      <c r="M21" s="5" t="s">
        <v>179</v>
      </c>
      <c r="N21" s="5"/>
      <c r="O21" s="5"/>
      <c r="P21" s="5" t="s">
        <v>172</v>
      </c>
      <c r="Q21" s="5"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50"/>
    <col collapsed="false" customWidth="true" hidden="false" outlineLevel="0" max="5" min="5" style="0" width="16"/>
  </cols>
  <sheetData>
    <row r="1" customFormat="false" ht="15" hidden="false" customHeight="false" outlineLevel="0" collapsed="false">
      <c r="A1" s="2" t="s">
        <v>203</v>
      </c>
      <c r="B1" s="2" t="s">
        <v>204</v>
      </c>
      <c r="C1" s="2" t="s">
        <v>205</v>
      </c>
      <c r="D1" s="2"/>
      <c r="E1" s="2" t="s">
        <v>206</v>
      </c>
    </row>
    <row r="2" customFormat="false" ht="15" hidden="false" customHeight="false" outlineLevel="0" collapsed="false">
      <c r="A2" s="2" t="s">
        <v>180</v>
      </c>
      <c r="B2" s="2" t="n">
        <v>4</v>
      </c>
      <c r="C2" s="2" t="s">
        <v>207</v>
      </c>
      <c r="D2" s="2"/>
      <c r="E2" s="2" t="n">
        <f aca="false">2026-2020+1</f>
        <v>7</v>
      </c>
    </row>
    <row r="3" customFormat="false" ht="15" hidden="false" customHeight="false" outlineLevel="0" collapsed="false">
      <c r="A3" s="2" t="s">
        <v>208</v>
      </c>
      <c r="B3" s="2" t="n">
        <v>6</v>
      </c>
      <c r="C3" s="2" t="s">
        <v>209</v>
      </c>
      <c r="D3" s="2"/>
      <c r="E3" s="2"/>
    </row>
    <row r="4" customFormat="false" ht="15" hidden="false" customHeight="false" outlineLevel="0" collapsed="false">
      <c r="A4" s="2" t="s">
        <v>174</v>
      </c>
      <c r="B4" s="2" t="n">
        <v>8</v>
      </c>
      <c r="C4" s="2" t="s">
        <v>210</v>
      </c>
      <c r="D4" s="2"/>
      <c r="E4" s="2"/>
    </row>
    <row r="5" customFormat="false" ht="15" hidden="false" customHeight="false" outlineLevel="0" collapsed="false">
      <c r="A5" s="2" t="s">
        <v>168</v>
      </c>
      <c r="B5" s="2" t="n">
        <v>0</v>
      </c>
      <c r="C5" s="2" t="s">
        <v>211</v>
      </c>
      <c r="D5" s="2"/>
      <c r="E5" s="2"/>
    </row>
    <row r="6" customFormat="false" ht="15" hidden="false" customHeight="false" outlineLevel="0" collapsed="false">
      <c r="A6" s="2"/>
      <c r="B6" s="2"/>
      <c r="C6" s="2"/>
      <c r="D6" s="2"/>
      <c r="E6" s="2"/>
    </row>
    <row r="7" customFormat="false" ht="124.6" hidden="false" customHeight="false" outlineLevel="0" collapsed="false">
      <c r="A7" s="2" t="s">
        <v>212</v>
      </c>
      <c r="B7" s="2"/>
      <c r="C7" s="2"/>
      <c r="D7" s="2"/>
      <c r="E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0"/>
    <col collapsed="false" customWidth="true" hidden="false" outlineLevel="0" max="4" min="4" style="0" width="70"/>
    <col collapsed="false" customWidth="true" hidden="false" outlineLevel="0" max="5" min="5" style="0" width="20"/>
    <col collapsed="false" customWidth="true" hidden="false" outlineLevel="0" max="6" min="6" style="0" width="16"/>
    <col collapsed="false" customWidth="true" hidden="false" outlineLevel="0" max="7" min="7" style="0" width="10"/>
    <col collapsed="false" customWidth="true" hidden="false" outlineLevel="0" max="8" min="8" style="0" width="48"/>
    <col collapsed="false" customWidth="true" hidden="false" outlineLevel="0" max="9" min="9" style="0" width="12"/>
    <col collapsed="false" customWidth="true" hidden="false" outlineLevel="0" max="10" min="10" style="0" width="11"/>
  </cols>
  <sheetData>
    <row r="1" customFormat="false" ht="52.2" hidden="false" customHeight="false" outlineLevel="0" collapsed="false">
      <c r="A1" s="4" t="s">
        <v>150</v>
      </c>
      <c r="B1" s="4" t="s">
        <v>213</v>
      </c>
      <c r="C1" s="4" t="s">
        <v>214</v>
      </c>
      <c r="D1" s="4" t="s">
        <v>215</v>
      </c>
      <c r="E1" s="4" t="s">
        <v>216</v>
      </c>
      <c r="F1" s="4" t="s">
        <v>217</v>
      </c>
      <c r="G1" s="4" t="s">
        <v>162</v>
      </c>
      <c r="H1" s="4" t="s">
        <v>161</v>
      </c>
      <c r="I1" s="4" t="s">
        <v>24</v>
      </c>
      <c r="J1" s="4" t="s">
        <v>25</v>
      </c>
    </row>
    <row r="2" customFormat="false" ht="41.75" hidden="false" customHeight="false" outlineLevel="0" collapsed="false">
      <c r="A2" s="5" t="s">
        <v>26</v>
      </c>
      <c r="B2" s="5" t="s">
        <v>218</v>
      </c>
      <c r="C2" s="5"/>
      <c r="D2" s="5" t="s">
        <v>219</v>
      </c>
      <c r="E2" s="5" t="s">
        <v>169</v>
      </c>
      <c r="F2" s="5" t="s">
        <v>220</v>
      </c>
      <c r="G2" s="5" t="s">
        <v>177</v>
      </c>
      <c r="H2" s="5" t="s">
        <v>221</v>
      </c>
      <c r="I2" s="5"/>
      <c r="J2" s="5"/>
    </row>
    <row r="3" customFormat="false" ht="41.75" hidden="false" customHeight="false" outlineLevel="0" collapsed="false">
      <c r="A3" s="5" t="s">
        <v>35</v>
      </c>
      <c r="B3" s="5" t="s">
        <v>218</v>
      </c>
      <c r="C3" s="5"/>
      <c r="D3" s="5" t="s">
        <v>222</v>
      </c>
      <c r="E3" s="5" t="s">
        <v>169</v>
      </c>
      <c r="F3" s="5" t="s">
        <v>223</v>
      </c>
      <c r="G3" s="5" t="s">
        <v>177</v>
      </c>
      <c r="H3" s="5" t="s">
        <v>224</v>
      </c>
      <c r="I3" s="5"/>
      <c r="J3" s="5"/>
    </row>
    <row r="4" customFormat="false" ht="41.75" hidden="false" customHeight="false" outlineLevel="0" collapsed="false">
      <c r="A4" s="5" t="s">
        <v>42</v>
      </c>
      <c r="B4" s="5" t="s">
        <v>218</v>
      </c>
      <c r="C4" s="5"/>
      <c r="D4" s="5" t="s">
        <v>178</v>
      </c>
      <c r="E4" s="5" t="s">
        <v>169</v>
      </c>
      <c r="F4" s="5" t="s">
        <v>223</v>
      </c>
      <c r="G4" s="5" t="s">
        <v>177</v>
      </c>
      <c r="H4" s="5" t="s">
        <v>224</v>
      </c>
      <c r="I4" s="5"/>
      <c r="J4" s="5"/>
    </row>
    <row r="5" customFormat="false" ht="41.75" hidden="false" customHeight="false" outlineLevel="0" collapsed="false">
      <c r="A5" s="5" t="s">
        <v>47</v>
      </c>
      <c r="B5" s="5" t="s">
        <v>218</v>
      </c>
      <c r="C5" s="5"/>
      <c r="D5" s="5" t="s">
        <v>225</v>
      </c>
      <c r="E5" s="5" t="s">
        <v>169</v>
      </c>
      <c r="F5" s="5" t="s">
        <v>223</v>
      </c>
      <c r="G5" s="5" t="s">
        <v>177</v>
      </c>
      <c r="H5" s="5" t="s">
        <v>226</v>
      </c>
      <c r="I5" s="5"/>
      <c r="J5" s="5"/>
    </row>
    <row r="6" customFormat="false" ht="41.75" hidden="false" customHeight="false" outlineLevel="0" collapsed="false">
      <c r="A6" s="5" t="s">
        <v>52</v>
      </c>
      <c r="B6" s="5" t="s">
        <v>218</v>
      </c>
      <c r="C6" s="5"/>
      <c r="D6" s="5" t="s">
        <v>227</v>
      </c>
      <c r="E6" s="5" t="s">
        <v>228</v>
      </c>
      <c r="F6" s="5" t="s">
        <v>223</v>
      </c>
      <c r="G6" s="5" t="s">
        <v>177</v>
      </c>
      <c r="H6" s="5" t="s">
        <v>226</v>
      </c>
      <c r="I6" s="5"/>
      <c r="J6" s="5"/>
    </row>
    <row r="7" customFormat="false" ht="41.75" hidden="false" customHeight="false" outlineLevel="0" collapsed="false">
      <c r="A7" s="5" t="s">
        <v>57</v>
      </c>
      <c r="B7" s="5" t="s">
        <v>218</v>
      </c>
      <c r="C7" s="5"/>
      <c r="D7" s="5" t="s">
        <v>229</v>
      </c>
      <c r="E7" s="5" t="s">
        <v>230</v>
      </c>
      <c r="F7" s="5" t="s">
        <v>223</v>
      </c>
      <c r="G7" s="5" t="s">
        <v>177</v>
      </c>
      <c r="H7" s="5" t="s">
        <v>231</v>
      </c>
      <c r="I7" s="5"/>
      <c r="J7" s="5"/>
    </row>
    <row r="8" customFormat="false" ht="41.75" hidden="false" customHeight="false" outlineLevel="0" collapsed="false">
      <c r="A8" s="5" t="s">
        <v>64</v>
      </c>
      <c r="B8" s="5" t="s">
        <v>218</v>
      </c>
      <c r="C8" s="5"/>
      <c r="D8" s="5" t="s">
        <v>225</v>
      </c>
      <c r="E8" s="5" t="s">
        <v>169</v>
      </c>
      <c r="F8" s="5" t="s">
        <v>223</v>
      </c>
      <c r="G8" s="5" t="s">
        <v>177</v>
      </c>
      <c r="H8" s="5" t="s">
        <v>232</v>
      </c>
      <c r="I8" s="5"/>
      <c r="J8" s="5"/>
    </row>
    <row r="9" customFormat="false" ht="41.75" hidden="false" customHeight="false" outlineLevel="0" collapsed="false">
      <c r="A9" s="5" t="s">
        <v>69</v>
      </c>
      <c r="B9" s="5" t="s">
        <v>218</v>
      </c>
      <c r="C9" s="5"/>
      <c r="D9" s="5" t="s">
        <v>233</v>
      </c>
      <c r="E9" s="5" t="s">
        <v>169</v>
      </c>
      <c r="F9" s="5" t="s">
        <v>223</v>
      </c>
      <c r="G9" s="5" t="s">
        <v>179</v>
      </c>
      <c r="H9" s="5" t="s">
        <v>234</v>
      </c>
      <c r="I9" s="5"/>
      <c r="J9" s="5"/>
    </row>
    <row r="10" customFormat="false" ht="41.75" hidden="false" customHeight="false" outlineLevel="0" collapsed="false">
      <c r="A10" s="5" t="s">
        <v>76</v>
      </c>
      <c r="B10" s="5" t="s">
        <v>235</v>
      </c>
      <c r="C10" s="5"/>
      <c r="D10" s="5" t="s">
        <v>236</v>
      </c>
      <c r="E10" s="5" t="s">
        <v>34</v>
      </c>
      <c r="F10" s="5" t="s">
        <v>237</v>
      </c>
      <c r="G10" s="5" t="s">
        <v>179</v>
      </c>
      <c r="H10" s="5" t="s">
        <v>234</v>
      </c>
      <c r="I10" s="5"/>
      <c r="J10" s="5"/>
    </row>
    <row r="11" customFormat="false" ht="41.75" hidden="false" customHeight="false" outlineLevel="0" collapsed="false">
      <c r="A11" s="5" t="s">
        <v>81</v>
      </c>
      <c r="B11" s="5" t="s">
        <v>235</v>
      </c>
      <c r="C11" s="5"/>
      <c r="D11" s="5" t="s">
        <v>238</v>
      </c>
      <c r="E11" s="5" t="s">
        <v>34</v>
      </c>
      <c r="F11" s="5" t="s">
        <v>237</v>
      </c>
      <c r="G11" s="5" t="s">
        <v>179</v>
      </c>
      <c r="H11" s="5" t="s">
        <v>239</v>
      </c>
      <c r="I11" s="5"/>
      <c r="J11" s="5"/>
    </row>
    <row r="12" customFormat="false" ht="41.75" hidden="false" customHeight="false" outlineLevel="0" collapsed="false">
      <c r="A12" s="5" t="s">
        <v>88</v>
      </c>
      <c r="B12" s="5" t="s">
        <v>218</v>
      </c>
      <c r="C12" s="5"/>
      <c r="D12" s="5" t="s">
        <v>240</v>
      </c>
      <c r="E12" s="5" t="s">
        <v>169</v>
      </c>
      <c r="F12" s="5" t="s">
        <v>223</v>
      </c>
      <c r="G12" s="5" t="s">
        <v>179</v>
      </c>
      <c r="H12" s="5" t="s">
        <v>241</v>
      </c>
      <c r="I12" s="5"/>
      <c r="J12" s="5"/>
    </row>
    <row r="13" customFormat="false" ht="41.75" hidden="false" customHeight="false" outlineLevel="0" collapsed="false">
      <c r="A13" s="5" t="s">
        <v>93</v>
      </c>
      <c r="B13" s="5" t="s">
        <v>218</v>
      </c>
      <c r="C13" s="5"/>
      <c r="D13" s="5" t="s">
        <v>242</v>
      </c>
      <c r="E13" s="5" t="s">
        <v>34</v>
      </c>
      <c r="F13" s="5" t="s">
        <v>237</v>
      </c>
      <c r="G13" s="5" t="s">
        <v>179</v>
      </c>
      <c r="H13" s="5" t="s">
        <v>243</v>
      </c>
      <c r="I13" s="5"/>
      <c r="J13" s="5"/>
    </row>
    <row r="14" customFormat="false" ht="41.75" hidden="false" customHeight="false" outlineLevel="0" collapsed="false">
      <c r="A14" s="5" t="s">
        <v>98</v>
      </c>
      <c r="B14" s="5" t="s">
        <v>218</v>
      </c>
      <c r="C14" s="5"/>
      <c r="D14" s="5" t="s">
        <v>244</v>
      </c>
      <c r="E14" s="5" t="s">
        <v>169</v>
      </c>
      <c r="F14" s="5" t="s">
        <v>223</v>
      </c>
      <c r="G14" s="5" t="s">
        <v>179</v>
      </c>
      <c r="H14" s="5" t="s">
        <v>245</v>
      </c>
      <c r="I14" s="5"/>
      <c r="J14" s="5"/>
    </row>
    <row r="15" customFormat="false" ht="41.75" hidden="false" customHeight="false" outlineLevel="0" collapsed="false">
      <c r="A15" s="5" t="s">
        <v>103</v>
      </c>
      <c r="B15" s="5" t="s">
        <v>218</v>
      </c>
      <c r="C15" s="5"/>
      <c r="D15" s="5" t="s">
        <v>246</v>
      </c>
      <c r="E15" s="5" t="s">
        <v>169</v>
      </c>
      <c r="F15" s="5" t="s">
        <v>223</v>
      </c>
      <c r="G15" s="5" t="s">
        <v>177</v>
      </c>
      <c r="H15" s="5" t="s">
        <v>247</v>
      </c>
      <c r="I15" s="5"/>
      <c r="J15" s="5"/>
    </row>
    <row r="16" customFormat="false" ht="41.75" hidden="false" customHeight="false" outlineLevel="0" collapsed="false">
      <c r="A16" s="5" t="s">
        <v>110</v>
      </c>
      <c r="B16" s="5" t="s">
        <v>235</v>
      </c>
      <c r="C16" s="5"/>
      <c r="D16" s="5" t="s">
        <v>248</v>
      </c>
      <c r="E16" s="5" t="s">
        <v>34</v>
      </c>
      <c r="F16" s="5" t="s">
        <v>237</v>
      </c>
      <c r="G16" s="5" t="s">
        <v>179</v>
      </c>
      <c r="H16" s="5" t="s">
        <v>249</v>
      </c>
      <c r="I16" s="5"/>
      <c r="J16" s="5"/>
    </row>
    <row r="17" customFormat="false" ht="41.75" hidden="false" customHeight="false" outlineLevel="0" collapsed="false">
      <c r="A17" s="5" t="s">
        <v>117</v>
      </c>
      <c r="B17" s="5" t="s">
        <v>250</v>
      </c>
      <c r="C17" s="5"/>
      <c r="D17" s="5" t="s">
        <v>251</v>
      </c>
      <c r="E17" s="5" t="s">
        <v>252</v>
      </c>
      <c r="F17" s="5" t="s">
        <v>253</v>
      </c>
      <c r="G17" s="5" t="s">
        <v>254</v>
      </c>
      <c r="H17" s="5" t="s">
        <v>255</v>
      </c>
      <c r="I17" s="5"/>
      <c r="J17" s="5"/>
    </row>
    <row r="18" customFormat="false" ht="41.75" hidden="false" customHeight="false" outlineLevel="0" collapsed="false">
      <c r="A18" s="5" t="s">
        <v>125</v>
      </c>
      <c r="B18" s="5" t="s">
        <v>250</v>
      </c>
      <c r="C18" s="5"/>
      <c r="D18" s="5" t="s">
        <v>256</v>
      </c>
      <c r="E18" s="5" t="s">
        <v>252</v>
      </c>
      <c r="F18" s="5" t="s">
        <v>257</v>
      </c>
      <c r="G18" s="5" t="s">
        <v>254</v>
      </c>
      <c r="H18" s="5" t="s">
        <v>258</v>
      </c>
      <c r="I18" s="5"/>
      <c r="J18" s="5"/>
    </row>
    <row r="19" customFormat="false" ht="41.75" hidden="false" customHeight="false" outlineLevel="0" collapsed="false">
      <c r="A19" s="5" t="s">
        <v>131</v>
      </c>
      <c r="B19" s="5" t="s">
        <v>259</v>
      </c>
      <c r="C19" s="5"/>
      <c r="D19" s="5" t="s">
        <v>260</v>
      </c>
      <c r="E19" s="5" t="s">
        <v>261</v>
      </c>
      <c r="F19" s="5" t="s">
        <v>262</v>
      </c>
      <c r="G19" s="5" t="s">
        <v>177</v>
      </c>
      <c r="H19" s="5" t="s">
        <v>263</v>
      </c>
      <c r="I19" s="5"/>
      <c r="J19" s="5"/>
    </row>
    <row r="20" customFormat="false" ht="41.75" hidden="false" customHeight="false" outlineLevel="0" collapsed="false">
      <c r="A20" s="5" t="s">
        <v>138</v>
      </c>
      <c r="B20" s="5" t="s">
        <v>259</v>
      </c>
      <c r="C20" s="5"/>
      <c r="D20" s="5" t="s">
        <v>264</v>
      </c>
      <c r="E20" s="5" t="s">
        <v>265</v>
      </c>
      <c r="F20" s="5" t="s">
        <v>262</v>
      </c>
      <c r="G20" s="5" t="s">
        <v>177</v>
      </c>
      <c r="H20" s="5" t="s">
        <v>266</v>
      </c>
      <c r="I20" s="5"/>
      <c r="J20" s="5"/>
    </row>
    <row r="21" customFormat="false" ht="41.75" hidden="false" customHeight="false" outlineLevel="0" collapsed="false">
      <c r="A21" s="5" t="s">
        <v>143</v>
      </c>
      <c r="B21" s="5" t="s">
        <v>235</v>
      </c>
      <c r="C21" s="5"/>
      <c r="D21" s="5" t="s">
        <v>267</v>
      </c>
      <c r="E21" s="5" t="s">
        <v>34</v>
      </c>
      <c r="F21" s="5" t="s">
        <v>237</v>
      </c>
      <c r="G21" s="5" t="s">
        <v>179</v>
      </c>
      <c r="H21" s="5" t="s">
        <v>268</v>
      </c>
      <c r="I21" s="5"/>
      <c r="J2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0"/>
    <col collapsed="false" customWidth="true" hidden="false" outlineLevel="0" max="4" min="4" style="0" width="34"/>
    <col collapsed="false" customWidth="true" hidden="false" outlineLevel="0" max="5" min="5" style="0" width="16"/>
    <col collapsed="false" customWidth="true" hidden="false" outlineLevel="0" max="6" min="6" style="0" width="60"/>
    <col collapsed="false" customWidth="true" hidden="false" outlineLevel="0" max="7" min="7" style="0" width="12"/>
  </cols>
  <sheetData>
    <row r="1" customFormat="false" ht="39.55" hidden="false" customHeight="false" outlineLevel="0" collapsed="false">
      <c r="A1" s="4" t="s">
        <v>269</v>
      </c>
      <c r="B1" s="4" t="s">
        <v>150</v>
      </c>
      <c r="C1" s="4" t="s">
        <v>270</v>
      </c>
      <c r="D1" s="4" t="s">
        <v>271</v>
      </c>
      <c r="E1" s="4" t="s">
        <v>272</v>
      </c>
      <c r="F1" s="4" t="s">
        <v>273</v>
      </c>
      <c r="G1" s="4" t="s">
        <v>24</v>
      </c>
    </row>
    <row r="2" customFormat="false" ht="28.35" hidden="false" customHeight="false" outlineLevel="0" collapsed="false">
      <c r="A2" s="5" t="s">
        <v>274</v>
      </c>
      <c r="B2" s="5" t="s">
        <v>26</v>
      </c>
      <c r="C2" s="5" t="s">
        <v>275</v>
      </c>
      <c r="D2" s="5" t="s">
        <v>276</v>
      </c>
      <c r="E2" s="5" t="s">
        <v>277</v>
      </c>
      <c r="F2" s="5" t="s">
        <v>278</v>
      </c>
      <c r="G2" s="5"/>
    </row>
    <row r="3" customFormat="false" ht="28.35" hidden="false" customHeight="false" outlineLevel="0" collapsed="false">
      <c r="A3" s="5" t="s">
        <v>279</v>
      </c>
      <c r="B3" s="5" t="s">
        <v>26</v>
      </c>
      <c r="C3" s="5" t="s">
        <v>280</v>
      </c>
      <c r="D3" s="5" t="s">
        <v>281</v>
      </c>
      <c r="E3" s="5" t="s">
        <v>282</v>
      </c>
      <c r="F3" s="5" t="s">
        <v>283</v>
      </c>
      <c r="G3" s="5"/>
    </row>
    <row r="4" customFormat="false" ht="15" hidden="false" customHeight="false" outlineLevel="0" collapsed="false">
      <c r="A4" s="5" t="s">
        <v>284</v>
      </c>
      <c r="B4" s="5" t="s">
        <v>35</v>
      </c>
      <c r="C4" s="5" t="s">
        <v>285</v>
      </c>
      <c r="D4" s="5" t="s">
        <v>286</v>
      </c>
      <c r="E4" s="5" t="s">
        <v>282</v>
      </c>
      <c r="F4" s="5" t="s">
        <v>287</v>
      </c>
      <c r="G4" s="5"/>
    </row>
    <row r="5" customFormat="false" ht="28.35" hidden="false" customHeight="false" outlineLevel="0" collapsed="false">
      <c r="A5" s="5" t="s">
        <v>288</v>
      </c>
      <c r="B5" s="5" t="s">
        <v>57</v>
      </c>
      <c r="C5" s="5" t="s">
        <v>289</v>
      </c>
      <c r="D5" s="5" t="s">
        <v>290</v>
      </c>
      <c r="E5" s="5" t="s">
        <v>291</v>
      </c>
      <c r="F5" s="5" t="s">
        <v>292</v>
      </c>
      <c r="G5" s="5"/>
    </row>
    <row r="6" customFormat="false" ht="15" hidden="false" customHeight="false" outlineLevel="0" collapsed="false">
      <c r="A6" s="5" t="s">
        <v>293</v>
      </c>
      <c r="B6" s="5" t="s">
        <v>69</v>
      </c>
      <c r="C6" s="5" t="s">
        <v>294</v>
      </c>
      <c r="D6" s="5" t="s">
        <v>295</v>
      </c>
      <c r="E6" s="5" t="s">
        <v>277</v>
      </c>
      <c r="F6" s="5" t="s">
        <v>296</v>
      </c>
      <c r="G6" s="5"/>
    </row>
    <row r="7" customFormat="false" ht="15" hidden="false" customHeight="false" outlineLevel="0" collapsed="false">
      <c r="A7" s="5" t="s">
        <v>297</v>
      </c>
      <c r="B7" s="5" t="s">
        <v>76</v>
      </c>
      <c r="C7" s="5" t="s">
        <v>298</v>
      </c>
      <c r="D7" s="5" t="s">
        <v>299</v>
      </c>
      <c r="E7" s="5" t="s">
        <v>291</v>
      </c>
      <c r="F7" s="5" t="s">
        <v>300</v>
      </c>
      <c r="G7" s="5"/>
    </row>
    <row r="8" customFormat="false" ht="15" hidden="false" customHeight="false" outlineLevel="0" collapsed="false">
      <c r="A8" s="5" t="s">
        <v>301</v>
      </c>
      <c r="B8" s="5" t="s">
        <v>117</v>
      </c>
      <c r="C8" s="5" t="s">
        <v>302</v>
      </c>
      <c r="D8" s="5" t="s">
        <v>303</v>
      </c>
      <c r="E8" s="5" t="s">
        <v>291</v>
      </c>
      <c r="F8" s="5" t="s">
        <v>304</v>
      </c>
      <c r="G8" s="5"/>
    </row>
    <row r="9" customFormat="false" ht="15" hidden="false" customHeight="false" outlineLevel="0" collapsed="false">
      <c r="A9" s="5" t="s">
        <v>305</v>
      </c>
      <c r="B9" s="5" t="s">
        <v>125</v>
      </c>
      <c r="C9" s="5" t="s">
        <v>306</v>
      </c>
      <c r="D9" s="5" t="s">
        <v>307</v>
      </c>
      <c r="E9" s="5" t="s">
        <v>291</v>
      </c>
      <c r="F9" s="5" t="s">
        <v>308</v>
      </c>
      <c r="G9" s="5"/>
    </row>
    <row r="10" customFormat="false" ht="28.35" hidden="false" customHeight="false" outlineLevel="0" collapsed="false">
      <c r="A10" s="5" t="s">
        <v>309</v>
      </c>
      <c r="B10" s="5" t="s">
        <v>131</v>
      </c>
      <c r="C10" s="5" t="s">
        <v>310</v>
      </c>
      <c r="D10" s="5" t="s">
        <v>311</v>
      </c>
      <c r="E10" s="5" t="s">
        <v>277</v>
      </c>
      <c r="F10" s="5" t="s">
        <v>312</v>
      </c>
      <c r="G10" s="5"/>
    </row>
    <row r="11" customFormat="false" ht="28.35" hidden="false" customHeight="false" outlineLevel="0" collapsed="false">
      <c r="A11" s="5" t="s">
        <v>313</v>
      </c>
      <c r="B11" s="5" t="s">
        <v>138</v>
      </c>
      <c r="C11" s="5" t="s">
        <v>314</v>
      </c>
      <c r="D11" s="5" t="s">
        <v>315</v>
      </c>
      <c r="E11" s="5" t="s">
        <v>282</v>
      </c>
      <c r="F11" s="5" t="s">
        <v>316</v>
      </c>
      <c r="G1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38"/>
    <col collapsed="false" customWidth="true" hidden="false" outlineLevel="0" max="4" min="4" style="0" width="44"/>
    <col collapsed="false" customWidth="true" hidden="false" outlineLevel="0" max="5" min="5" style="0" width="20"/>
    <col collapsed="false" customWidth="true" hidden="false" outlineLevel="0" max="6" min="6" style="0" width="54"/>
  </cols>
  <sheetData>
    <row r="1" customFormat="false" ht="15" hidden="false" customHeight="false" outlineLevel="0" collapsed="false">
      <c r="A1" s="4" t="s">
        <v>317</v>
      </c>
      <c r="B1" s="4" t="s">
        <v>318</v>
      </c>
      <c r="C1" s="4" t="s">
        <v>319</v>
      </c>
      <c r="D1" s="4" t="s">
        <v>320</v>
      </c>
      <c r="E1" s="4" t="s">
        <v>321</v>
      </c>
      <c r="F1" s="4" t="s">
        <v>322</v>
      </c>
    </row>
    <row r="2" customFormat="false" ht="15" hidden="false" customHeight="false" outlineLevel="0" collapsed="false">
      <c r="A2" s="5" t="n">
        <v>1</v>
      </c>
      <c r="B2" s="5" t="s">
        <v>323</v>
      </c>
      <c r="C2" s="5" t="s">
        <v>324</v>
      </c>
      <c r="D2" s="5" t="s">
        <v>325</v>
      </c>
      <c r="E2" s="5" t="s">
        <v>326</v>
      </c>
      <c r="F2" s="5"/>
    </row>
    <row r="3" customFormat="false" ht="28.35" hidden="false" customHeight="false" outlineLevel="0" collapsed="false">
      <c r="A3" s="5" t="n">
        <v>2</v>
      </c>
      <c r="B3" s="5" t="s">
        <v>327</v>
      </c>
      <c r="C3" s="5" t="s">
        <v>328</v>
      </c>
      <c r="D3" s="5" t="s">
        <v>329</v>
      </c>
      <c r="E3" s="5" t="s">
        <v>326</v>
      </c>
      <c r="F3" s="5" t="s">
        <v>330</v>
      </c>
    </row>
    <row r="4" customFormat="false" ht="15" hidden="false" customHeight="false" outlineLevel="0" collapsed="false">
      <c r="A4" s="5" t="n">
        <v>3</v>
      </c>
      <c r="B4" s="5" t="s">
        <v>331</v>
      </c>
      <c r="C4" s="5" t="s">
        <v>332</v>
      </c>
      <c r="D4" s="5" t="s">
        <v>333</v>
      </c>
      <c r="E4" s="5" t="s">
        <v>334</v>
      </c>
      <c r="F4" s="5"/>
    </row>
    <row r="5" customFormat="false" ht="15" hidden="false" customHeight="false" outlineLevel="0" collapsed="false">
      <c r="A5" s="5" t="n">
        <v>4</v>
      </c>
      <c r="B5" s="5" t="s">
        <v>335</v>
      </c>
      <c r="C5" s="5" t="s">
        <v>336</v>
      </c>
      <c r="D5" s="5" t="s">
        <v>337</v>
      </c>
      <c r="E5" s="5" t="s">
        <v>326</v>
      </c>
      <c r="F5" s="5" t="s">
        <v>338</v>
      </c>
    </row>
    <row r="6" customFormat="false" ht="15" hidden="false" customHeight="false" outlineLevel="0" collapsed="false">
      <c r="A6" s="5" t="n">
        <v>5</v>
      </c>
      <c r="B6" s="5" t="s">
        <v>339</v>
      </c>
      <c r="C6" s="5" t="s">
        <v>340</v>
      </c>
      <c r="D6" s="5" t="s">
        <v>341</v>
      </c>
      <c r="E6" s="5" t="s">
        <v>326</v>
      </c>
      <c r="F6" s="5"/>
    </row>
    <row r="7" customFormat="false" ht="15" hidden="false" customHeight="false" outlineLevel="0" collapsed="false">
      <c r="A7" s="5" t="n">
        <v>6</v>
      </c>
      <c r="B7" s="5" t="s">
        <v>342</v>
      </c>
      <c r="C7" s="5" t="s">
        <v>343</v>
      </c>
      <c r="D7" s="5" t="s">
        <v>344</v>
      </c>
      <c r="E7" s="5" t="s">
        <v>334</v>
      </c>
      <c r="F7" s="5"/>
    </row>
    <row r="8" customFormat="false" ht="28.35" hidden="false" customHeight="false" outlineLevel="0" collapsed="false">
      <c r="A8" s="5" t="n">
        <v>7</v>
      </c>
      <c r="B8" s="5" t="s">
        <v>345</v>
      </c>
      <c r="C8" s="5" t="s">
        <v>346</v>
      </c>
      <c r="D8" s="5" t="s">
        <v>347</v>
      </c>
      <c r="E8" s="5" t="s">
        <v>334</v>
      </c>
      <c r="F8" s="5" t="s">
        <v>348</v>
      </c>
    </row>
    <row r="9" customFormat="false" ht="28.35" hidden="false" customHeight="false" outlineLevel="0" collapsed="false">
      <c r="A9" s="5" t="n">
        <v>8</v>
      </c>
      <c r="B9" s="5" t="s">
        <v>349</v>
      </c>
      <c r="C9" s="5" t="s">
        <v>350</v>
      </c>
      <c r="D9" s="5" t="s">
        <v>351</v>
      </c>
      <c r="E9" s="5" t="s">
        <v>326</v>
      </c>
      <c r="F9" s="5" t="s">
        <v>352</v>
      </c>
    </row>
    <row r="10" customFormat="false" ht="15" hidden="false" customHeight="false" outlineLevel="0" collapsed="false">
      <c r="A10" s="5" t="n">
        <v>9</v>
      </c>
      <c r="B10" s="5" t="s">
        <v>353</v>
      </c>
      <c r="C10" s="5" t="s">
        <v>354</v>
      </c>
      <c r="D10" s="5" t="s">
        <v>355</v>
      </c>
      <c r="E10" s="5" t="s">
        <v>326</v>
      </c>
      <c r="F10" s="5"/>
    </row>
    <row r="11" customFormat="false" ht="15" hidden="false" customHeight="false" outlineLevel="0" collapsed="false">
      <c r="A11" s="5" t="n">
        <v>10</v>
      </c>
      <c r="B11" s="5" t="s">
        <v>356</v>
      </c>
      <c r="C11" s="5" t="s">
        <v>357</v>
      </c>
      <c r="D11" s="5" t="s">
        <v>358</v>
      </c>
      <c r="E11" s="5" t="s">
        <v>334</v>
      </c>
      <c r="F11" s="5" t="s">
        <v>359</v>
      </c>
    </row>
    <row r="12" customFormat="false" ht="28.35" hidden="false" customHeight="false" outlineLevel="0" collapsed="false">
      <c r="A12" s="5" t="n">
        <v>11</v>
      </c>
      <c r="B12" s="5" t="s">
        <v>360</v>
      </c>
      <c r="C12" s="5" t="s">
        <v>361</v>
      </c>
      <c r="D12" s="5" t="s">
        <v>362</v>
      </c>
      <c r="E12" s="5" t="s">
        <v>363</v>
      </c>
      <c r="F12" s="5" t="s">
        <v>364</v>
      </c>
    </row>
    <row r="13" customFormat="false" ht="28.35" hidden="false" customHeight="false" outlineLevel="0" collapsed="false">
      <c r="A13" s="5" t="n">
        <v>12</v>
      </c>
      <c r="B13" s="5" t="s">
        <v>365</v>
      </c>
      <c r="C13" s="5" t="s">
        <v>366</v>
      </c>
      <c r="D13" s="5" t="s">
        <v>367</v>
      </c>
      <c r="E13" s="5" t="s">
        <v>368</v>
      </c>
      <c r="F13" s="5"/>
    </row>
    <row r="15" customFormat="false" ht="60" hidden="false" customHeight="true" outlineLevel="0" collapsed="false">
      <c r="A15" s="9" t="s">
        <v>369</v>
      </c>
      <c r="B15" s="10" t="s">
        <v>370</v>
      </c>
      <c r="C15" s="10"/>
      <c r="D15" s="10"/>
      <c r="E15" s="10"/>
      <c r="F15" s="10"/>
    </row>
  </sheetData>
  <mergeCells count="1">
    <mergeCell ref="B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3" min="3" style="0" width="46"/>
    <col collapsed="false" customWidth="true" hidden="false" outlineLevel="0" max="4" min="4" style="0" width="40"/>
    <col collapsed="false" customWidth="true" hidden="false" outlineLevel="0" max="5" min="5" style="0" width="18"/>
    <col collapsed="false" customWidth="true" hidden="false" outlineLevel="0" max="6" min="6" style="0" width="40"/>
    <col collapsed="false" customWidth="true" hidden="false" outlineLevel="0" max="7" min="7" style="0" width="10"/>
    <col collapsed="false" customWidth="true" hidden="false" outlineLevel="0" max="8" min="8" style="0" width="12"/>
  </cols>
  <sheetData>
    <row r="1" customFormat="false" ht="26.85" hidden="false" customHeight="false" outlineLevel="0" collapsed="false">
      <c r="A1" s="4" t="s">
        <v>371</v>
      </c>
      <c r="B1" s="4" t="s">
        <v>372</v>
      </c>
      <c r="C1" s="4" t="s">
        <v>161</v>
      </c>
      <c r="D1" s="4" t="s">
        <v>373</v>
      </c>
      <c r="E1" s="4" t="s">
        <v>163</v>
      </c>
      <c r="F1" s="4" t="s">
        <v>374</v>
      </c>
      <c r="G1" s="4" t="s">
        <v>375</v>
      </c>
      <c r="H1" s="4" t="s">
        <v>24</v>
      </c>
    </row>
    <row r="2" customFormat="false" ht="28.35" hidden="false" customHeight="false" outlineLevel="0" collapsed="false">
      <c r="A2" s="5" t="s">
        <v>376</v>
      </c>
      <c r="B2" s="5" t="s">
        <v>377</v>
      </c>
      <c r="C2" s="5" t="s">
        <v>378</v>
      </c>
      <c r="D2" s="5" t="s">
        <v>379</v>
      </c>
      <c r="E2" s="5" t="s">
        <v>380</v>
      </c>
      <c r="F2" s="5" t="s">
        <v>381</v>
      </c>
      <c r="G2" s="5"/>
      <c r="H2" s="5"/>
    </row>
    <row r="3" customFormat="false" ht="28.35" hidden="false" customHeight="false" outlineLevel="0" collapsed="false">
      <c r="A3" s="5" t="s">
        <v>382</v>
      </c>
      <c r="B3" s="5" t="s">
        <v>383</v>
      </c>
      <c r="C3" s="5" t="s">
        <v>384</v>
      </c>
      <c r="D3" s="5" t="s">
        <v>385</v>
      </c>
      <c r="E3" s="5" t="s">
        <v>380</v>
      </c>
      <c r="F3" s="5" t="s">
        <v>386</v>
      </c>
      <c r="G3" s="5"/>
      <c r="H3" s="5"/>
    </row>
    <row r="4" customFormat="false" ht="28.35" hidden="false" customHeight="false" outlineLevel="0" collapsed="false">
      <c r="A4" s="5" t="s">
        <v>387</v>
      </c>
      <c r="B4" s="5" t="s">
        <v>388</v>
      </c>
      <c r="C4" s="5" t="s">
        <v>389</v>
      </c>
      <c r="D4" s="5" t="s">
        <v>390</v>
      </c>
      <c r="E4" s="5" t="s">
        <v>391</v>
      </c>
      <c r="F4" s="5" t="s">
        <v>392</v>
      </c>
      <c r="G4" s="5"/>
      <c r="H4" s="5"/>
    </row>
    <row r="5" customFormat="false" ht="28.35" hidden="false" customHeight="false" outlineLevel="0" collapsed="false">
      <c r="A5" s="5" t="s">
        <v>393</v>
      </c>
      <c r="B5" s="5" t="s">
        <v>394</v>
      </c>
      <c r="C5" s="5" t="s">
        <v>395</v>
      </c>
      <c r="D5" s="5" t="s">
        <v>396</v>
      </c>
      <c r="E5" s="5" t="s">
        <v>397</v>
      </c>
      <c r="F5" s="5" t="s">
        <v>398</v>
      </c>
      <c r="G5" s="5"/>
      <c r="H5" s="5"/>
    </row>
    <row r="6" customFormat="false" ht="28.35" hidden="false" customHeight="false" outlineLevel="0" collapsed="false">
      <c r="A6" s="5" t="s">
        <v>399</v>
      </c>
      <c r="B6" s="5" t="s">
        <v>400</v>
      </c>
      <c r="C6" s="5" t="s">
        <v>401</v>
      </c>
      <c r="D6" s="5" t="s">
        <v>402</v>
      </c>
      <c r="E6" s="5" t="s">
        <v>172</v>
      </c>
      <c r="F6" s="5" t="s">
        <v>403</v>
      </c>
      <c r="G6" s="5"/>
      <c r="H6" s="5"/>
    </row>
    <row r="7" customFormat="false" ht="15" hidden="false" customHeight="false" outlineLevel="0" collapsed="false">
      <c r="A7" s="5" t="s">
        <v>404</v>
      </c>
      <c r="B7" s="5" t="s">
        <v>405</v>
      </c>
      <c r="C7" s="5" t="s">
        <v>406</v>
      </c>
      <c r="D7" s="5" t="s">
        <v>407</v>
      </c>
      <c r="E7" s="5" t="s">
        <v>237</v>
      </c>
      <c r="F7" s="5" t="s">
        <v>408</v>
      </c>
      <c r="G7" s="5"/>
      <c r="H7" s="5"/>
    </row>
    <row r="8" customFormat="false" ht="15" hidden="false" customHeight="false" outlineLevel="0" collapsed="false">
      <c r="A8" s="5" t="s">
        <v>409</v>
      </c>
      <c r="B8" s="5" t="s">
        <v>410</v>
      </c>
      <c r="C8" s="5" t="s">
        <v>411</v>
      </c>
      <c r="D8" s="5" t="s">
        <v>412</v>
      </c>
      <c r="E8" s="5" t="s">
        <v>237</v>
      </c>
      <c r="F8" s="5" t="s">
        <v>413</v>
      </c>
      <c r="G8" s="5"/>
      <c r="H8" s="5"/>
    </row>
    <row r="9" customFormat="false" ht="15" hidden="false" customHeight="false" outlineLevel="0" collapsed="false">
      <c r="A9" s="5" t="s">
        <v>414</v>
      </c>
      <c r="B9" s="5" t="s">
        <v>415</v>
      </c>
      <c r="C9" s="5" t="s">
        <v>416</v>
      </c>
      <c r="D9" s="5" t="s">
        <v>417</v>
      </c>
      <c r="E9" s="5" t="s">
        <v>237</v>
      </c>
      <c r="F9" s="5" t="s">
        <v>413</v>
      </c>
      <c r="G9" s="5"/>
      <c r="H9" s="5"/>
    </row>
    <row r="10" customFormat="false" ht="15" hidden="false" customHeight="false" outlineLevel="0" collapsed="false">
      <c r="A10" s="5" t="s">
        <v>418</v>
      </c>
      <c r="B10" s="5" t="s">
        <v>419</v>
      </c>
      <c r="C10" s="5" t="s">
        <v>420</v>
      </c>
      <c r="D10" s="5" t="s">
        <v>421</v>
      </c>
      <c r="E10" s="5" t="s">
        <v>422</v>
      </c>
      <c r="F10" s="5" t="s">
        <v>413</v>
      </c>
      <c r="G10" s="5"/>
      <c r="H10" s="5"/>
    </row>
    <row r="11" customFormat="false" ht="28.35" hidden="false" customHeight="false" outlineLevel="0" collapsed="false">
      <c r="A11" s="5" t="s">
        <v>423</v>
      </c>
      <c r="B11" s="5" t="s">
        <v>424</v>
      </c>
      <c r="C11" s="5" t="s">
        <v>425</v>
      </c>
      <c r="D11" s="5" t="s">
        <v>426</v>
      </c>
      <c r="E11" s="5" t="s">
        <v>237</v>
      </c>
      <c r="F11" s="5" t="s">
        <v>427</v>
      </c>
      <c r="G11" s="5"/>
      <c r="H1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70"/>
    <col collapsed="false" customWidth="true" hidden="false" outlineLevel="0" max="4" min="4" style="0" width="20"/>
    <col collapsed="false" customWidth="true" hidden="false" outlineLevel="0" max="5" min="5" style="0" width="10"/>
    <col collapsed="false" customWidth="true" hidden="false" outlineLevel="0" max="6" min="6" style="0" width="40"/>
  </cols>
  <sheetData>
    <row r="1" customFormat="false" ht="15" hidden="false" customHeight="false" outlineLevel="0" collapsed="false">
      <c r="A1" s="4" t="s">
        <v>428</v>
      </c>
      <c r="B1" s="4" t="s">
        <v>429</v>
      </c>
      <c r="C1" s="4" t="s">
        <v>430</v>
      </c>
      <c r="D1" s="4" t="s">
        <v>431</v>
      </c>
      <c r="E1" s="4" t="s">
        <v>432</v>
      </c>
      <c r="F1" s="4" t="s">
        <v>433</v>
      </c>
    </row>
    <row r="2" customFormat="false" ht="28.35" hidden="false" customHeight="false" outlineLevel="0" collapsed="false">
      <c r="A2" s="5" t="n">
        <v>1</v>
      </c>
      <c r="B2" s="5" t="s">
        <v>434</v>
      </c>
      <c r="C2" s="5" t="s">
        <v>435</v>
      </c>
      <c r="D2" s="5" t="s">
        <v>436</v>
      </c>
      <c r="E2" s="5" t="s">
        <v>437</v>
      </c>
      <c r="F2" s="5"/>
    </row>
    <row r="3" customFormat="false" ht="28.35" hidden="false" customHeight="false" outlineLevel="0" collapsed="false">
      <c r="A3" s="5" t="n">
        <v>2</v>
      </c>
      <c r="B3" s="5" t="s">
        <v>438</v>
      </c>
      <c r="C3" s="5" t="s">
        <v>439</v>
      </c>
      <c r="D3" s="5" t="s">
        <v>440</v>
      </c>
      <c r="E3" s="5" t="s">
        <v>437</v>
      </c>
      <c r="F3" s="5"/>
    </row>
    <row r="4" customFormat="false" ht="15" hidden="false" customHeight="false" outlineLevel="0" collapsed="false">
      <c r="A4" s="5" t="n">
        <v>3</v>
      </c>
      <c r="B4" s="5" t="s">
        <v>441</v>
      </c>
      <c r="C4" s="5" t="s">
        <v>442</v>
      </c>
      <c r="D4" s="5" t="s">
        <v>443</v>
      </c>
      <c r="E4" s="5" t="s">
        <v>41</v>
      </c>
      <c r="F4" s="5"/>
    </row>
    <row r="5" customFormat="false" ht="28.35" hidden="false" customHeight="false" outlineLevel="0" collapsed="false">
      <c r="A5" s="5" t="n">
        <v>4</v>
      </c>
      <c r="B5" s="5" t="s">
        <v>444</v>
      </c>
      <c r="C5" s="5" t="s">
        <v>445</v>
      </c>
      <c r="D5" s="5" t="s">
        <v>446</v>
      </c>
      <c r="E5" s="5" t="s">
        <v>437</v>
      </c>
      <c r="F5" s="5"/>
    </row>
    <row r="6" customFormat="false" ht="28.35" hidden="false" customHeight="false" outlineLevel="0" collapsed="false">
      <c r="A6" s="5" t="n">
        <v>5</v>
      </c>
      <c r="B6" s="5" t="s">
        <v>447</v>
      </c>
      <c r="C6" s="5" t="s">
        <v>448</v>
      </c>
      <c r="D6" s="5" t="s">
        <v>449</v>
      </c>
      <c r="E6" s="5" t="s">
        <v>437</v>
      </c>
      <c r="F6" s="5"/>
    </row>
    <row r="7" customFormat="false" ht="28.35" hidden="false" customHeight="false" outlineLevel="0" collapsed="false">
      <c r="A7" s="5" t="n">
        <v>6</v>
      </c>
      <c r="B7" s="5" t="s">
        <v>450</v>
      </c>
      <c r="C7" s="5" t="s">
        <v>451</v>
      </c>
      <c r="D7" s="5" t="s">
        <v>452</v>
      </c>
      <c r="E7" s="5" t="s">
        <v>41</v>
      </c>
      <c r="F7" s="5"/>
    </row>
    <row r="8" customFormat="false" ht="15" hidden="false" customHeight="false" outlineLevel="0" collapsed="false">
      <c r="A8" s="5" t="n">
        <v>7</v>
      </c>
      <c r="B8" s="5" t="s">
        <v>453</v>
      </c>
      <c r="C8" s="5" t="s">
        <v>454</v>
      </c>
      <c r="D8" s="5" t="s">
        <v>455</v>
      </c>
      <c r="E8" s="5" t="s">
        <v>437</v>
      </c>
      <c r="F8" s="5"/>
    </row>
    <row r="9" customFormat="false" ht="15" hidden="false" customHeight="false" outlineLevel="0" collapsed="false">
      <c r="A9" s="5" t="n">
        <v>8</v>
      </c>
      <c r="B9" s="5" t="s">
        <v>456</v>
      </c>
      <c r="C9" s="5" t="s">
        <v>457</v>
      </c>
      <c r="D9" s="5" t="s">
        <v>458</v>
      </c>
      <c r="E9" s="5" t="s">
        <v>437</v>
      </c>
      <c r="F9" s="5"/>
    </row>
    <row r="10" customFormat="false" ht="15" hidden="false" customHeight="false" outlineLevel="0" collapsed="false">
      <c r="A10" s="5" t="n">
        <v>9</v>
      </c>
      <c r="B10" s="5" t="s">
        <v>459</v>
      </c>
      <c r="C10" s="5" t="s">
        <v>460</v>
      </c>
      <c r="D10" s="5" t="s">
        <v>461</v>
      </c>
      <c r="E10" s="5" t="s">
        <v>437</v>
      </c>
      <c r="F10"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
    <col collapsed="false" customWidth="true" hidden="false" outlineLevel="0" max="3" min="3" style="0" width="14"/>
    <col collapsed="false" customWidth="true" hidden="false" outlineLevel="0" max="4" min="4" style="0" width="50"/>
    <col collapsed="false" customWidth="true" hidden="false" outlineLevel="0" max="5" min="5" style="0" width="70"/>
    <col collapsed="false" customWidth="true" hidden="false" outlineLevel="0" max="6" min="6" style="0" width="22"/>
    <col collapsed="false" customWidth="true" hidden="false" outlineLevel="0" max="7" min="7" style="0" width="12"/>
    <col collapsed="false" customWidth="true" hidden="false" outlineLevel="0" max="8" min="8" style="0" width="30"/>
    <col collapsed="false" customWidth="true" hidden="false" outlineLevel="0" max="9" min="9" style="0" width="12"/>
    <col collapsed="false" customWidth="true" hidden="false" outlineLevel="0" max="10" min="10" style="0" width="30"/>
  </cols>
  <sheetData>
    <row r="1" customFormat="false" ht="39.55" hidden="false" customHeight="false" outlineLevel="0" collapsed="false">
      <c r="A1" s="4" t="s">
        <v>269</v>
      </c>
      <c r="B1" s="4" t="s">
        <v>462</v>
      </c>
      <c r="C1" s="4" t="s">
        <v>203</v>
      </c>
      <c r="D1" s="4" t="s">
        <v>463</v>
      </c>
      <c r="E1" s="4" t="s">
        <v>464</v>
      </c>
      <c r="F1" s="4" t="s">
        <v>465</v>
      </c>
      <c r="G1" s="4" t="s">
        <v>466</v>
      </c>
      <c r="H1" s="4" t="s">
        <v>467</v>
      </c>
      <c r="I1" s="4" t="s">
        <v>468</v>
      </c>
      <c r="J1" s="4" t="s">
        <v>469</v>
      </c>
    </row>
    <row r="2" customFormat="false" ht="28.35" hidden="false" customHeight="false" outlineLevel="0" collapsed="false">
      <c r="A2" s="5" t="s">
        <v>470</v>
      </c>
      <c r="B2" s="5" t="s">
        <v>471</v>
      </c>
      <c r="C2" s="5" t="s">
        <v>472</v>
      </c>
      <c r="D2" s="5" t="s">
        <v>473</v>
      </c>
      <c r="E2" s="5" t="s">
        <v>474</v>
      </c>
      <c r="F2" s="5" t="s">
        <v>475</v>
      </c>
      <c r="G2" s="5" t="s">
        <v>476</v>
      </c>
      <c r="H2" s="5"/>
      <c r="I2" s="5"/>
      <c r="J2" s="5"/>
    </row>
    <row r="3" customFormat="false" ht="28.35" hidden="false" customHeight="false" outlineLevel="0" collapsed="false">
      <c r="A3" s="5" t="s">
        <v>477</v>
      </c>
      <c r="B3" s="5" t="s">
        <v>471</v>
      </c>
      <c r="C3" s="5" t="s">
        <v>472</v>
      </c>
      <c r="D3" s="5" t="s">
        <v>478</v>
      </c>
      <c r="E3" s="5" t="s">
        <v>479</v>
      </c>
      <c r="F3" s="5" t="s">
        <v>387</v>
      </c>
      <c r="G3" s="5" t="s">
        <v>476</v>
      </c>
      <c r="H3" s="5"/>
      <c r="I3" s="5"/>
      <c r="J3" s="5"/>
    </row>
    <row r="4" customFormat="false" ht="28.35" hidden="false" customHeight="false" outlineLevel="0" collapsed="false">
      <c r="A4" s="5" t="s">
        <v>480</v>
      </c>
      <c r="B4" s="5" t="s">
        <v>471</v>
      </c>
      <c r="C4" s="5" t="s">
        <v>481</v>
      </c>
      <c r="D4" s="5" t="s">
        <v>482</v>
      </c>
      <c r="E4" s="5" t="s">
        <v>483</v>
      </c>
      <c r="F4" s="5" t="s">
        <v>387</v>
      </c>
      <c r="G4" s="5" t="s">
        <v>476</v>
      </c>
      <c r="H4" s="5"/>
      <c r="I4" s="5"/>
      <c r="J4" s="5"/>
    </row>
    <row r="5" customFormat="false" ht="28.35" hidden="false" customHeight="false" outlineLevel="0" collapsed="false">
      <c r="A5" s="5" t="s">
        <v>484</v>
      </c>
      <c r="B5" s="5" t="s">
        <v>471</v>
      </c>
      <c r="C5" s="5" t="s">
        <v>485</v>
      </c>
      <c r="D5" s="5" t="s">
        <v>486</v>
      </c>
      <c r="E5" s="5" t="s">
        <v>487</v>
      </c>
      <c r="F5" s="5" t="s">
        <v>382</v>
      </c>
      <c r="G5" s="5" t="s">
        <v>476</v>
      </c>
      <c r="H5" s="5"/>
      <c r="I5" s="5"/>
      <c r="J5" s="5"/>
    </row>
    <row r="6" customFormat="false" ht="28.35" hidden="false" customHeight="false" outlineLevel="0" collapsed="false">
      <c r="A6" s="5" t="s">
        <v>488</v>
      </c>
      <c r="B6" s="5" t="s">
        <v>471</v>
      </c>
      <c r="C6" s="5" t="s">
        <v>485</v>
      </c>
      <c r="D6" s="5" t="s">
        <v>489</v>
      </c>
      <c r="E6" s="5" t="s">
        <v>490</v>
      </c>
      <c r="F6" s="5" t="s">
        <v>382</v>
      </c>
      <c r="G6" s="5" t="s">
        <v>491</v>
      </c>
      <c r="H6" s="5" t="s">
        <v>492</v>
      </c>
      <c r="I6" s="5"/>
      <c r="J6" s="5"/>
    </row>
    <row r="7" customFormat="false" ht="28.35" hidden="false" customHeight="false" outlineLevel="0" collapsed="false">
      <c r="A7" s="5" t="s">
        <v>493</v>
      </c>
      <c r="B7" s="5" t="s">
        <v>471</v>
      </c>
      <c r="C7" s="5" t="s">
        <v>494</v>
      </c>
      <c r="D7" s="5" t="s">
        <v>495</v>
      </c>
      <c r="E7" s="5" t="s">
        <v>496</v>
      </c>
      <c r="F7" s="5" t="s">
        <v>497</v>
      </c>
      <c r="G7" s="5" t="s">
        <v>476</v>
      </c>
      <c r="H7" s="5"/>
      <c r="I7" s="5"/>
      <c r="J7" s="5"/>
    </row>
    <row r="8" customFormat="false" ht="15" hidden="false" customHeight="false" outlineLevel="0" collapsed="false">
      <c r="A8" s="5" t="s">
        <v>498</v>
      </c>
      <c r="B8" s="5" t="s">
        <v>471</v>
      </c>
      <c r="C8" s="5" t="s">
        <v>494</v>
      </c>
      <c r="D8" s="5" t="s">
        <v>499</v>
      </c>
      <c r="E8" s="5" t="s">
        <v>500</v>
      </c>
      <c r="F8" s="5" t="s">
        <v>382</v>
      </c>
      <c r="G8" s="5" t="s">
        <v>476</v>
      </c>
      <c r="H8" s="5"/>
      <c r="I8" s="5"/>
      <c r="J8" s="5"/>
    </row>
    <row r="9" customFormat="false" ht="41.75" hidden="false" customHeight="false" outlineLevel="0" collapsed="false">
      <c r="A9" s="5" t="s">
        <v>501</v>
      </c>
      <c r="B9" s="5" t="s">
        <v>471</v>
      </c>
      <c r="C9" s="5" t="s">
        <v>494</v>
      </c>
      <c r="D9" s="5" t="s">
        <v>502</v>
      </c>
      <c r="E9" s="5" t="s">
        <v>503</v>
      </c>
      <c r="F9" s="5" t="s">
        <v>504</v>
      </c>
      <c r="G9" s="5" t="s">
        <v>491</v>
      </c>
      <c r="H9" s="5" t="s">
        <v>505</v>
      </c>
      <c r="I9" s="5"/>
      <c r="J9" s="5"/>
    </row>
    <row r="10" customFormat="false" ht="15" hidden="false" customHeight="false" outlineLevel="0" collapsed="false">
      <c r="A10" s="5" t="s">
        <v>506</v>
      </c>
      <c r="B10" s="5" t="s">
        <v>471</v>
      </c>
      <c r="C10" s="5" t="s">
        <v>494</v>
      </c>
      <c r="D10" s="5" t="s">
        <v>507</v>
      </c>
      <c r="E10" s="5" t="s">
        <v>508</v>
      </c>
      <c r="F10" s="5" t="s">
        <v>382</v>
      </c>
      <c r="G10" s="5" t="s">
        <v>476</v>
      </c>
      <c r="H10" s="5" t="s">
        <v>509</v>
      </c>
      <c r="I10" s="5"/>
      <c r="J10" s="5"/>
    </row>
    <row r="11" customFormat="false" ht="28.35" hidden="false" customHeight="false" outlineLevel="0" collapsed="false">
      <c r="A11" s="5" t="s">
        <v>510</v>
      </c>
      <c r="B11" s="5" t="s">
        <v>471</v>
      </c>
      <c r="C11" s="5" t="s">
        <v>511</v>
      </c>
      <c r="D11" s="5" t="s">
        <v>512</v>
      </c>
      <c r="E11" s="5" t="s">
        <v>513</v>
      </c>
      <c r="F11" s="5" t="s">
        <v>514</v>
      </c>
      <c r="G11" s="5" t="s">
        <v>476</v>
      </c>
      <c r="H11" s="5"/>
      <c r="I11" s="5"/>
      <c r="J11" s="5"/>
    </row>
    <row r="12" customFormat="false" ht="28.35" hidden="false" customHeight="false" outlineLevel="0" collapsed="false">
      <c r="A12" s="5" t="s">
        <v>515</v>
      </c>
      <c r="B12" s="5" t="s">
        <v>471</v>
      </c>
      <c r="C12" s="5" t="s">
        <v>511</v>
      </c>
      <c r="D12" s="5" t="s">
        <v>516</v>
      </c>
      <c r="E12" s="5" t="s">
        <v>517</v>
      </c>
      <c r="F12" s="5" t="s">
        <v>514</v>
      </c>
      <c r="G12" s="5" t="s">
        <v>476</v>
      </c>
      <c r="H12" s="5"/>
      <c r="I12" s="5"/>
      <c r="J12" s="5"/>
    </row>
    <row r="13" customFormat="false" ht="28.35" hidden="false" customHeight="false" outlineLevel="0" collapsed="false">
      <c r="A13" s="5" t="s">
        <v>518</v>
      </c>
      <c r="B13" s="5" t="s">
        <v>471</v>
      </c>
      <c r="C13" s="5" t="s">
        <v>519</v>
      </c>
      <c r="D13" s="5" t="s">
        <v>520</v>
      </c>
      <c r="E13" s="5" t="s">
        <v>521</v>
      </c>
      <c r="F13" s="5" t="s">
        <v>376</v>
      </c>
      <c r="G13" s="5" t="s">
        <v>522</v>
      </c>
      <c r="H13" s="5" t="s">
        <v>523</v>
      </c>
      <c r="I13" s="5"/>
      <c r="J13" s="5"/>
    </row>
    <row r="14" customFormat="false" ht="28.35" hidden="false" customHeight="false" outlineLevel="0" collapsed="false">
      <c r="A14" s="5" t="s">
        <v>524</v>
      </c>
      <c r="B14" s="5" t="s">
        <v>471</v>
      </c>
      <c r="C14" s="5" t="s">
        <v>511</v>
      </c>
      <c r="D14" s="5" t="s">
        <v>525</v>
      </c>
      <c r="E14" s="5" t="s">
        <v>526</v>
      </c>
      <c r="F14" s="5" t="s">
        <v>527</v>
      </c>
      <c r="G14" s="5" t="s">
        <v>491</v>
      </c>
      <c r="H14" s="5"/>
      <c r="I14" s="5"/>
      <c r="J14" s="5"/>
    </row>
    <row r="15" customFormat="false" ht="28.35" hidden="false" customHeight="false" outlineLevel="0" collapsed="false">
      <c r="A15" s="5" t="s">
        <v>528</v>
      </c>
      <c r="B15" s="5" t="s">
        <v>471</v>
      </c>
      <c r="C15" s="5" t="s">
        <v>511</v>
      </c>
      <c r="D15" s="5" t="s">
        <v>529</v>
      </c>
      <c r="E15" s="5" t="s">
        <v>530</v>
      </c>
      <c r="F15" s="5" t="s">
        <v>514</v>
      </c>
      <c r="G15" s="5" t="s">
        <v>491</v>
      </c>
      <c r="H15" s="5"/>
      <c r="I15" s="5"/>
      <c r="J15" s="5"/>
    </row>
    <row r="16" customFormat="false" ht="28.35" hidden="false" customHeight="false" outlineLevel="0" collapsed="false">
      <c r="A16" s="5" t="s">
        <v>531</v>
      </c>
      <c r="B16" s="5" t="s">
        <v>471</v>
      </c>
      <c r="C16" s="5" t="s">
        <v>511</v>
      </c>
      <c r="D16" s="5" t="s">
        <v>532</v>
      </c>
      <c r="E16" s="5" t="s">
        <v>533</v>
      </c>
      <c r="F16" s="5" t="s">
        <v>534</v>
      </c>
      <c r="G16" s="5" t="s">
        <v>491</v>
      </c>
      <c r="H16" s="5"/>
      <c r="I16" s="5"/>
      <c r="J16" s="5"/>
    </row>
    <row r="17" customFormat="false" ht="28.35" hidden="false" customHeight="false" outlineLevel="0" collapsed="false">
      <c r="A17" s="5" t="s">
        <v>535</v>
      </c>
      <c r="B17" s="5" t="s">
        <v>471</v>
      </c>
      <c r="C17" s="5" t="s">
        <v>511</v>
      </c>
      <c r="D17" s="5" t="s">
        <v>536</v>
      </c>
      <c r="E17" s="5" t="s">
        <v>537</v>
      </c>
      <c r="F17" s="5" t="s">
        <v>376</v>
      </c>
      <c r="G17" s="5" t="s">
        <v>491</v>
      </c>
      <c r="H17" s="5" t="s">
        <v>538</v>
      </c>
      <c r="I17" s="5"/>
      <c r="J17" s="5"/>
    </row>
    <row r="18" customFormat="false" ht="15" hidden="false" customHeight="false" outlineLevel="0" collapsed="false">
      <c r="A18" s="5" t="s">
        <v>539</v>
      </c>
      <c r="B18" s="5" t="s">
        <v>471</v>
      </c>
      <c r="C18" s="5" t="s">
        <v>481</v>
      </c>
      <c r="D18" s="5" t="s">
        <v>540</v>
      </c>
      <c r="E18" s="5" t="s">
        <v>541</v>
      </c>
      <c r="F18" s="5" t="s">
        <v>542</v>
      </c>
      <c r="G18" s="5" t="s">
        <v>476</v>
      </c>
      <c r="H18" s="5"/>
      <c r="I18" s="5"/>
      <c r="J18" s="5"/>
    </row>
    <row r="19" customFormat="false" ht="28.35" hidden="false" customHeight="false" outlineLevel="0" collapsed="false">
      <c r="A19" s="5" t="s">
        <v>543</v>
      </c>
      <c r="B19" s="5" t="s">
        <v>471</v>
      </c>
      <c r="C19" s="5" t="s">
        <v>481</v>
      </c>
      <c r="D19" s="5" t="s">
        <v>544</v>
      </c>
      <c r="E19" s="5" t="s">
        <v>545</v>
      </c>
      <c r="F19" s="5" t="s">
        <v>542</v>
      </c>
      <c r="G19" s="5" t="s">
        <v>491</v>
      </c>
      <c r="H19" s="5"/>
      <c r="I19" s="5"/>
      <c r="J19" s="5"/>
    </row>
    <row r="20" customFormat="false" ht="28.35" hidden="false" customHeight="false" outlineLevel="0" collapsed="false">
      <c r="A20" s="5" t="s">
        <v>546</v>
      </c>
      <c r="B20" s="5" t="s">
        <v>471</v>
      </c>
      <c r="C20" s="5" t="s">
        <v>481</v>
      </c>
      <c r="D20" s="5" t="s">
        <v>547</v>
      </c>
      <c r="E20" s="5" t="s">
        <v>548</v>
      </c>
      <c r="F20" s="5" t="s">
        <v>542</v>
      </c>
      <c r="G20" s="5" t="s">
        <v>491</v>
      </c>
      <c r="H20" s="5"/>
      <c r="I20" s="5"/>
      <c r="J20" s="5"/>
    </row>
    <row r="21" customFormat="false" ht="28.35" hidden="false" customHeight="false" outlineLevel="0" collapsed="false">
      <c r="A21" s="5" t="s">
        <v>549</v>
      </c>
      <c r="B21" s="5" t="s">
        <v>471</v>
      </c>
      <c r="C21" s="5" t="s">
        <v>550</v>
      </c>
      <c r="D21" s="5" t="s">
        <v>551</v>
      </c>
      <c r="E21" s="5" t="s">
        <v>552</v>
      </c>
      <c r="F21" s="5" t="s">
        <v>553</v>
      </c>
      <c r="G21" s="5" t="s">
        <v>522</v>
      </c>
      <c r="H21" s="5" t="s">
        <v>554</v>
      </c>
      <c r="I21" s="5"/>
      <c r="J21" s="5"/>
    </row>
    <row r="22" customFormat="false" ht="28.35" hidden="false" customHeight="false" outlineLevel="0" collapsed="false">
      <c r="A22" s="5" t="s">
        <v>555</v>
      </c>
      <c r="B22" s="5" t="s">
        <v>471</v>
      </c>
      <c r="C22" s="5" t="s">
        <v>550</v>
      </c>
      <c r="D22" s="5" t="s">
        <v>556</v>
      </c>
      <c r="E22" s="5" t="s">
        <v>557</v>
      </c>
      <c r="F22" s="5" t="s">
        <v>423</v>
      </c>
      <c r="G22" s="5" t="s">
        <v>522</v>
      </c>
      <c r="H22" s="5"/>
      <c r="I22" s="5"/>
      <c r="J22" s="5"/>
    </row>
    <row r="23" customFormat="false" ht="28.35" hidden="false" customHeight="false" outlineLevel="0" collapsed="false">
      <c r="A23" s="5" t="s">
        <v>558</v>
      </c>
      <c r="B23" s="5" t="s">
        <v>471</v>
      </c>
      <c r="C23" s="5" t="s">
        <v>559</v>
      </c>
      <c r="D23" s="5" t="s">
        <v>560</v>
      </c>
      <c r="E23" s="5" t="s">
        <v>561</v>
      </c>
      <c r="F23" s="5" t="s">
        <v>376</v>
      </c>
      <c r="G23" s="5" t="s">
        <v>491</v>
      </c>
      <c r="H23" s="5"/>
      <c r="I23" s="5"/>
      <c r="J23" s="5"/>
    </row>
    <row r="24" customFormat="false" ht="28.35" hidden="false" customHeight="false" outlineLevel="0" collapsed="false">
      <c r="A24" s="5" t="s">
        <v>562</v>
      </c>
      <c r="B24" s="5" t="s">
        <v>471</v>
      </c>
      <c r="C24" s="5" t="s">
        <v>559</v>
      </c>
      <c r="D24" s="5" t="s">
        <v>563</v>
      </c>
      <c r="E24" s="5" t="s">
        <v>564</v>
      </c>
      <c r="F24" s="5" t="s">
        <v>376</v>
      </c>
      <c r="G24" s="5" t="s">
        <v>491</v>
      </c>
      <c r="H24" s="5"/>
      <c r="I24" s="5"/>
      <c r="J24" s="5"/>
    </row>
    <row r="25" customFormat="false" ht="28.35" hidden="false" customHeight="false" outlineLevel="0" collapsed="false">
      <c r="A25" s="5" t="s">
        <v>565</v>
      </c>
      <c r="B25" s="5" t="s">
        <v>471</v>
      </c>
      <c r="C25" s="5" t="s">
        <v>481</v>
      </c>
      <c r="D25" s="5" t="s">
        <v>566</v>
      </c>
      <c r="E25" s="5" t="s">
        <v>567</v>
      </c>
      <c r="F25" s="5" t="s">
        <v>568</v>
      </c>
      <c r="G25" s="5" t="s">
        <v>476</v>
      </c>
      <c r="H25" s="5"/>
      <c r="I25" s="5"/>
      <c r="J25" s="5"/>
    </row>
    <row r="26" customFormat="false" ht="28.35" hidden="false" customHeight="false" outlineLevel="0" collapsed="false">
      <c r="A26" s="5" t="s">
        <v>569</v>
      </c>
      <c r="B26" s="5" t="s">
        <v>471</v>
      </c>
      <c r="C26" s="5" t="s">
        <v>570</v>
      </c>
      <c r="D26" s="5" t="s">
        <v>571</v>
      </c>
      <c r="E26" s="5" t="s">
        <v>572</v>
      </c>
      <c r="F26" s="5" t="s">
        <v>568</v>
      </c>
      <c r="G26" s="5" t="s">
        <v>476</v>
      </c>
      <c r="H26" s="5"/>
      <c r="I26" s="5"/>
      <c r="J26" s="5"/>
    </row>
    <row r="27" customFormat="false" ht="28.35" hidden="false" customHeight="false" outlineLevel="0" collapsed="false">
      <c r="A27" s="5" t="s">
        <v>573</v>
      </c>
      <c r="B27" s="5" t="s">
        <v>471</v>
      </c>
      <c r="C27" s="5" t="s">
        <v>485</v>
      </c>
      <c r="D27" s="5" t="s">
        <v>574</v>
      </c>
      <c r="E27" s="5" t="s">
        <v>575</v>
      </c>
      <c r="F27" s="5" t="s">
        <v>399</v>
      </c>
      <c r="G27" s="5" t="s">
        <v>491</v>
      </c>
      <c r="H27" s="5" t="s">
        <v>576</v>
      </c>
      <c r="I27" s="5"/>
      <c r="J27" s="5"/>
    </row>
    <row r="28" customFormat="false" ht="15" hidden="false" customHeight="false" outlineLevel="0" collapsed="false">
      <c r="A28" s="5" t="s">
        <v>577</v>
      </c>
      <c r="B28" s="5" t="s">
        <v>471</v>
      </c>
      <c r="C28" s="5" t="s">
        <v>485</v>
      </c>
      <c r="D28" s="5" t="s">
        <v>578</v>
      </c>
      <c r="E28" s="5" t="s">
        <v>579</v>
      </c>
      <c r="F28" s="5" t="s">
        <v>580</v>
      </c>
      <c r="G28" s="5" t="s">
        <v>491</v>
      </c>
      <c r="H28" s="5" t="s">
        <v>581</v>
      </c>
      <c r="I28" s="5"/>
      <c r="J28" s="5"/>
    </row>
    <row r="29" customFormat="false" ht="15" hidden="false" customHeight="false" outlineLevel="0" collapsed="false">
      <c r="A29" s="5" t="s">
        <v>582</v>
      </c>
      <c r="B29" s="5" t="s">
        <v>471</v>
      </c>
      <c r="C29" s="5" t="s">
        <v>485</v>
      </c>
      <c r="D29" s="5" t="s">
        <v>583</v>
      </c>
      <c r="E29" s="5" t="s">
        <v>584</v>
      </c>
      <c r="F29" s="5" t="s">
        <v>399</v>
      </c>
      <c r="G29" s="5" t="s">
        <v>491</v>
      </c>
      <c r="H29" s="5"/>
      <c r="I29" s="5"/>
      <c r="J29" s="5"/>
    </row>
    <row r="30" customFormat="false" ht="28.35" hidden="false" customHeight="false" outlineLevel="0" collapsed="false">
      <c r="A30" s="5" t="s">
        <v>585</v>
      </c>
      <c r="B30" s="5" t="s">
        <v>471</v>
      </c>
      <c r="C30" s="5" t="s">
        <v>511</v>
      </c>
      <c r="D30" s="5" t="s">
        <v>586</v>
      </c>
      <c r="E30" s="5" t="s">
        <v>587</v>
      </c>
      <c r="F30" s="5" t="s">
        <v>514</v>
      </c>
      <c r="G30" s="5" t="s">
        <v>522</v>
      </c>
      <c r="H30" s="5" t="s">
        <v>588</v>
      </c>
      <c r="I30" s="5"/>
      <c r="J30" s="5"/>
    </row>
    <row r="31" customFormat="false" ht="28.35" hidden="false" customHeight="false" outlineLevel="0" collapsed="false">
      <c r="A31" s="5" t="s">
        <v>589</v>
      </c>
      <c r="B31" s="5" t="s">
        <v>471</v>
      </c>
      <c r="C31" s="5" t="s">
        <v>511</v>
      </c>
      <c r="D31" s="5" t="s">
        <v>590</v>
      </c>
      <c r="E31" s="5" t="s">
        <v>591</v>
      </c>
      <c r="F31" s="5" t="s">
        <v>376</v>
      </c>
      <c r="G31" s="5" t="s">
        <v>476</v>
      </c>
      <c r="H31" s="5"/>
      <c r="I31" s="5"/>
      <c r="J31" s="5"/>
    </row>
    <row r="32" customFormat="false" ht="41.75" hidden="false" customHeight="false" outlineLevel="0" collapsed="false">
      <c r="A32" s="5" t="s">
        <v>592</v>
      </c>
      <c r="B32" s="5" t="s">
        <v>471</v>
      </c>
      <c r="C32" s="5" t="s">
        <v>519</v>
      </c>
      <c r="D32" s="5" t="s">
        <v>593</v>
      </c>
      <c r="E32" s="5" t="s">
        <v>594</v>
      </c>
      <c r="F32" s="5" t="s">
        <v>376</v>
      </c>
      <c r="G32" s="5" t="s">
        <v>522</v>
      </c>
      <c r="H32" s="5"/>
      <c r="I32" s="5"/>
      <c r="J32" s="5"/>
    </row>
    <row r="33" customFormat="false" ht="28.35" hidden="false" customHeight="false" outlineLevel="0" collapsed="false">
      <c r="A33" s="5" t="s">
        <v>595</v>
      </c>
      <c r="B33" s="5" t="s">
        <v>471</v>
      </c>
      <c r="C33" s="5" t="s">
        <v>485</v>
      </c>
      <c r="D33" s="5" t="s">
        <v>596</v>
      </c>
      <c r="E33" s="5" t="s">
        <v>597</v>
      </c>
      <c r="F33" s="5" t="s">
        <v>580</v>
      </c>
      <c r="G33" s="5" t="s">
        <v>522</v>
      </c>
      <c r="H33" s="5" t="s">
        <v>598</v>
      </c>
      <c r="I33" s="5"/>
      <c r="J33" s="5"/>
    </row>
    <row r="34" customFormat="false" ht="15" hidden="false" customHeight="false" outlineLevel="0" collapsed="false">
      <c r="A34" s="5" t="s">
        <v>599</v>
      </c>
      <c r="B34" s="5" t="s">
        <v>471</v>
      </c>
      <c r="C34" s="5" t="s">
        <v>600</v>
      </c>
      <c r="D34" s="5" t="s">
        <v>601</v>
      </c>
      <c r="E34" s="5" t="s">
        <v>602</v>
      </c>
      <c r="F34" s="5" t="s">
        <v>603</v>
      </c>
      <c r="G34" s="5" t="s">
        <v>476</v>
      </c>
      <c r="H34" s="5"/>
      <c r="I34" s="5"/>
      <c r="J34" s="5"/>
    </row>
    <row r="35" customFormat="false" ht="15" hidden="false" customHeight="false" outlineLevel="0" collapsed="false">
      <c r="A35" s="5" t="s">
        <v>604</v>
      </c>
      <c r="B35" s="5" t="s">
        <v>471</v>
      </c>
      <c r="C35" s="5" t="s">
        <v>600</v>
      </c>
      <c r="D35" s="5" t="s">
        <v>605</v>
      </c>
      <c r="E35" s="5" t="s">
        <v>606</v>
      </c>
      <c r="F35" s="5" t="s">
        <v>603</v>
      </c>
      <c r="G35" s="5" t="s">
        <v>476</v>
      </c>
      <c r="H35" s="5"/>
      <c r="I35" s="5"/>
      <c r="J35" s="5"/>
    </row>
    <row r="36" customFormat="false" ht="41.75" hidden="false" customHeight="false" outlineLevel="0" collapsed="false">
      <c r="A36" s="5" t="s">
        <v>607</v>
      </c>
      <c r="B36" s="5" t="s">
        <v>471</v>
      </c>
      <c r="C36" s="5" t="s">
        <v>511</v>
      </c>
      <c r="D36" s="5" t="s">
        <v>608</v>
      </c>
      <c r="E36" s="5" t="s">
        <v>609</v>
      </c>
      <c r="F36" s="5" t="s">
        <v>534</v>
      </c>
      <c r="G36" s="5" t="s">
        <v>476</v>
      </c>
      <c r="H36" s="5"/>
      <c r="I36" s="5"/>
      <c r="J36" s="5"/>
    </row>
    <row r="37" customFormat="false" ht="28.35" hidden="false" customHeight="false" outlineLevel="0" collapsed="false">
      <c r="A37" s="5" t="s">
        <v>610</v>
      </c>
      <c r="B37" s="5" t="s">
        <v>471</v>
      </c>
      <c r="C37" s="5" t="s">
        <v>485</v>
      </c>
      <c r="D37" s="5" t="s">
        <v>611</v>
      </c>
      <c r="E37" s="5" t="s">
        <v>612</v>
      </c>
      <c r="F37" s="5" t="s">
        <v>580</v>
      </c>
      <c r="G37" s="5" t="s">
        <v>491</v>
      </c>
      <c r="H37" s="5"/>
      <c r="I37" s="5"/>
      <c r="J37" s="5"/>
    </row>
    <row r="38" customFormat="false" ht="28.35" hidden="false" customHeight="false" outlineLevel="0" collapsed="false">
      <c r="A38" s="5" t="s">
        <v>613</v>
      </c>
      <c r="B38" s="5" t="s">
        <v>471</v>
      </c>
      <c r="C38" s="5" t="s">
        <v>614</v>
      </c>
      <c r="D38" s="5" t="s">
        <v>615</v>
      </c>
      <c r="E38" s="5" t="s">
        <v>616</v>
      </c>
      <c r="F38" s="5"/>
      <c r="G38" s="5" t="s">
        <v>617</v>
      </c>
      <c r="H38" s="5"/>
      <c r="I38" s="5"/>
      <c r="J38" s="5"/>
    </row>
    <row r="39" customFormat="false" ht="28.35" hidden="false" customHeight="false" outlineLevel="0" collapsed="false">
      <c r="A39" s="5" t="s">
        <v>618</v>
      </c>
      <c r="B39" s="5" t="s">
        <v>471</v>
      </c>
      <c r="C39" s="5" t="s">
        <v>614</v>
      </c>
      <c r="D39" s="5" t="s">
        <v>619</v>
      </c>
      <c r="E39" s="5" t="s">
        <v>620</v>
      </c>
      <c r="F39" s="5"/>
      <c r="G39" s="5" t="s">
        <v>617</v>
      </c>
      <c r="H39" s="5"/>
      <c r="I39" s="5"/>
      <c r="J39" s="5"/>
    </row>
    <row r="40" customFormat="false" ht="28.35" hidden="false" customHeight="false" outlineLevel="0" collapsed="false">
      <c r="A40" s="5" t="s">
        <v>621</v>
      </c>
      <c r="B40" s="5" t="s">
        <v>471</v>
      </c>
      <c r="C40" s="5" t="s">
        <v>614</v>
      </c>
      <c r="D40" s="5" t="s">
        <v>622</v>
      </c>
      <c r="E40" s="5" t="s">
        <v>623</v>
      </c>
      <c r="F40" s="5"/>
      <c r="G40" s="5" t="s">
        <v>617</v>
      </c>
      <c r="H40" s="5"/>
      <c r="I40" s="5"/>
      <c r="J40" s="5"/>
    </row>
    <row r="41" customFormat="false" ht="28.35" hidden="false" customHeight="false" outlineLevel="0" collapsed="false">
      <c r="A41" s="5" t="s">
        <v>624</v>
      </c>
      <c r="B41" s="5" t="s">
        <v>471</v>
      </c>
      <c r="C41" s="5" t="s">
        <v>614</v>
      </c>
      <c r="D41" s="5" t="s">
        <v>625</v>
      </c>
      <c r="E41" s="5" t="s">
        <v>626</v>
      </c>
      <c r="F41" s="5"/>
      <c r="G41" s="5" t="s">
        <v>617</v>
      </c>
      <c r="H41" s="5"/>
      <c r="I41" s="5"/>
      <c r="J41" s="5"/>
    </row>
    <row r="42" customFormat="false" ht="28.35" hidden="false" customHeight="false" outlineLevel="0" collapsed="false">
      <c r="A42" s="5" t="s">
        <v>627</v>
      </c>
      <c r="B42" s="5" t="s">
        <v>471</v>
      </c>
      <c r="C42" s="5" t="s">
        <v>614</v>
      </c>
      <c r="D42" s="5" t="s">
        <v>628</v>
      </c>
      <c r="E42" s="5" t="s">
        <v>629</v>
      </c>
      <c r="F42" s="5"/>
      <c r="G42" s="5" t="s">
        <v>617</v>
      </c>
      <c r="H42" s="5"/>
      <c r="I42" s="5"/>
      <c r="J42" s="5"/>
    </row>
    <row r="43" customFormat="false" ht="28.35" hidden="false" customHeight="false" outlineLevel="0" collapsed="false">
      <c r="A43" s="5" t="s">
        <v>630</v>
      </c>
      <c r="B43" s="5" t="s">
        <v>471</v>
      </c>
      <c r="C43" s="5" t="s">
        <v>614</v>
      </c>
      <c r="D43" s="5" t="s">
        <v>631</v>
      </c>
      <c r="E43" s="5" t="s">
        <v>632</v>
      </c>
      <c r="F43" s="5"/>
      <c r="G43" s="5" t="s">
        <v>617</v>
      </c>
      <c r="H43" s="5" t="s">
        <v>633</v>
      </c>
      <c r="I43" s="5"/>
      <c r="J43" s="5"/>
    </row>
    <row r="44" customFormat="false" ht="28.35" hidden="false" customHeight="false" outlineLevel="0" collapsed="false">
      <c r="A44" s="5" t="s">
        <v>634</v>
      </c>
      <c r="B44" s="5" t="s">
        <v>471</v>
      </c>
      <c r="C44" s="5" t="s">
        <v>614</v>
      </c>
      <c r="D44" s="5" t="s">
        <v>635</v>
      </c>
      <c r="E44" s="5" t="s">
        <v>623</v>
      </c>
      <c r="F44" s="5"/>
      <c r="G44" s="5" t="s">
        <v>617</v>
      </c>
      <c r="H44" s="5"/>
      <c r="I44" s="5"/>
      <c r="J44" s="5"/>
    </row>
    <row r="45" customFormat="false" ht="28.35" hidden="false" customHeight="false" outlineLevel="0" collapsed="false">
      <c r="A45" s="5" t="s">
        <v>636</v>
      </c>
      <c r="B45" s="5" t="s">
        <v>637</v>
      </c>
      <c r="C45" s="5" t="s">
        <v>638</v>
      </c>
      <c r="D45" s="5" t="s">
        <v>639</v>
      </c>
      <c r="E45" s="5" t="s">
        <v>640</v>
      </c>
      <c r="F45" s="5" t="s">
        <v>382</v>
      </c>
      <c r="G45" s="5" t="s">
        <v>476</v>
      </c>
      <c r="H45" s="5"/>
      <c r="I45" s="5"/>
      <c r="J45" s="5"/>
    </row>
    <row r="46" customFormat="false" ht="28.35" hidden="false" customHeight="false" outlineLevel="0" collapsed="false">
      <c r="A46" s="5" t="s">
        <v>641</v>
      </c>
      <c r="B46" s="5" t="s">
        <v>637</v>
      </c>
      <c r="C46" s="5" t="s">
        <v>638</v>
      </c>
      <c r="D46" s="5" t="s">
        <v>642</v>
      </c>
      <c r="E46" s="5" t="s">
        <v>643</v>
      </c>
      <c r="F46" s="5" t="s">
        <v>382</v>
      </c>
      <c r="G46" s="5" t="s">
        <v>476</v>
      </c>
      <c r="H46" s="5"/>
      <c r="I46" s="5"/>
      <c r="J46" s="5"/>
    </row>
    <row r="47" customFormat="false" ht="28.35" hidden="false" customHeight="false" outlineLevel="0" collapsed="false">
      <c r="A47" s="5" t="s">
        <v>644</v>
      </c>
      <c r="B47" s="5" t="s">
        <v>637</v>
      </c>
      <c r="C47" s="5" t="s">
        <v>645</v>
      </c>
      <c r="D47" s="5" t="s">
        <v>646</v>
      </c>
      <c r="E47" s="5" t="s">
        <v>647</v>
      </c>
      <c r="F47" s="5" t="s">
        <v>648</v>
      </c>
      <c r="G47" s="5" t="s">
        <v>491</v>
      </c>
      <c r="H47" s="5"/>
      <c r="I47" s="5"/>
      <c r="J47" s="5"/>
    </row>
    <row r="48" customFormat="false" ht="28.35" hidden="false" customHeight="false" outlineLevel="0" collapsed="false">
      <c r="A48" s="5" t="s">
        <v>649</v>
      </c>
      <c r="B48" s="5" t="s">
        <v>637</v>
      </c>
      <c r="C48" s="5" t="s">
        <v>650</v>
      </c>
      <c r="D48" s="5" t="s">
        <v>651</v>
      </c>
      <c r="E48" s="5" t="s">
        <v>652</v>
      </c>
      <c r="F48" s="5" t="s">
        <v>376</v>
      </c>
      <c r="G48" s="5" t="s">
        <v>491</v>
      </c>
      <c r="H48" s="5"/>
      <c r="I48" s="5"/>
      <c r="J48" s="5"/>
    </row>
    <row r="49" customFormat="false" ht="15" hidden="false" customHeight="false" outlineLevel="0" collapsed="false">
      <c r="A49" s="5" t="s">
        <v>653</v>
      </c>
      <c r="B49" s="5" t="s">
        <v>637</v>
      </c>
      <c r="C49" s="5" t="s">
        <v>650</v>
      </c>
      <c r="D49" s="5" t="s">
        <v>654</v>
      </c>
      <c r="E49" s="5" t="s">
        <v>655</v>
      </c>
      <c r="F49" s="5" t="s">
        <v>376</v>
      </c>
      <c r="G49" s="5" t="s">
        <v>491</v>
      </c>
      <c r="H49" s="5" t="s">
        <v>656</v>
      </c>
      <c r="I49" s="5"/>
      <c r="J49" s="5"/>
    </row>
    <row r="50" customFormat="false" ht="28.35" hidden="false" customHeight="false" outlineLevel="0" collapsed="false">
      <c r="A50" s="5" t="s">
        <v>657</v>
      </c>
      <c r="B50" s="5" t="s">
        <v>637</v>
      </c>
      <c r="C50" s="5" t="s">
        <v>658</v>
      </c>
      <c r="D50" s="5" t="s">
        <v>659</v>
      </c>
      <c r="E50" s="5" t="s">
        <v>660</v>
      </c>
      <c r="F50" s="5"/>
      <c r="G50" s="5" t="s">
        <v>617</v>
      </c>
      <c r="H50" s="5"/>
      <c r="I50" s="5"/>
      <c r="J50" s="5"/>
    </row>
    <row r="51" customFormat="false" ht="28.35" hidden="false" customHeight="false" outlineLevel="0" collapsed="false">
      <c r="A51" s="5" t="s">
        <v>661</v>
      </c>
      <c r="B51" s="5" t="s">
        <v>637</v>
      </c>
      <c r="C51" s="5" t="s">
        <v>662</v>
      </c>
      <c r="D51" s="5" t="s">
        <v>663</v>
      </c>
      <c r="E51" s="5" t="s">
        <v>664</v>
      </c>
      <c r="F51" s="5" t="s">
        <v>387</v>
      </c>
      <c r="G51" s="5" t="s">
        <v>476</v>
      </c>
      <c r="H51" s="5"/>
      <c r="I51" s="5"/>
      <c r="J5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2026-09-29T20:56:18Z</dcterms:created>
  <dc:creator>openpyxl</dc:creator>
  <dc:description/>
  <dc:language>en-US</dc:language>
  <cp:lastModifiedBy/>
  <dcterms:modified xsi:type="dcterms:W3CDTF">2026-09-29T20:56:19Z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