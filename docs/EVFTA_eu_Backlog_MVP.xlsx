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ọc trước" sheetId="1" state="visible" r:id="rId3"/>
    <sheet name="Tổng hợp" sheetId="2" state="visible" r:id="rId4"/>
    <sheet name="Backlog" sheetId="3" state="visible" r:id="rId5"/>
    <sheet name="Mô hình dữ liệu" sheetId="4" state="visible" r:id="rId6"/>
    <sheet name="Lịch tuần" sheetId="5" state="visible" r:id="rId7"/>
  </sheets>
  <definedNames>
    <definedName function="false" hidden="true" localSheetId="2" name="_xlnm._FilterDatabase" vbProcedure="false">Backlog!$A$1:$P$58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<sst xmlns="http://schemas.openxmlformats.org/spreadsheetml/2006/main" count="1088" uniqueCount="650">
  <si>
    <t xml:space="preserve">evfta.eu — Backlog MVP xây mới trên FastAPI</t>
  </si>
  <si>
    <t xml:space="preserve">Mục đích</t>
  </si>
  <si>
    <t xml:space="preserve">Backlog xây mới evfta.eu MVP theo spec evfta.eu MVP Build Specification. Stack: FastAPI (Python), Next.js, PostgreSQL.</t>
  </si>
  <si>
    <t xml:space="preserve">Căn cứ</t>
  </si>
  <si>
    <t xml:space="preserve">Spec EVFTA (P0/P1/P2, §4 mô hình dữ liệu, §5 chức năng, §9 lịch 12 tuần); backlog VYBE Trade 29/9/2026 (đính chính nghiệp vụ, lỗi đã gặp); tài liệu 'evfta.eu MVP — Chức năng yêu cầu và kế hoạch thực thi'.</t>
  </si>
  <si>
    <t xml:space="preserve">Khác với backlog VYBE</t>
  </si>
  <si>
    <t xml:space="preserve">VYBE là sửa trên nền Blazor + XAF. evfta.eu là xây mới, nên không có cột 'Hiện trạng web' hay 'Tận dụng code'. Cột 'Tham chiếu VYBE' giữ mã cũ để đối chiếu và ghi bài học. Admin XAF không còn: I4, I1, I5 phải tự làm trên Next.js.</t>
  </si>
  <si>
    <t xml:space="preserve">Cách đọc</t>
  </si>
  <si>
    <t xml:space="preserve">Sheet 'Backlog' xếp theo giai đoạn thực thi. Cột 'Xong khi' lấy từ tiêu chí nghiệm thu của spec. Công sức là ước lượng ngày-người cho xây mới; tech lead chỉnh sau tuần 1.</t>
  </si>
  <si>
    <t xml:space="preserve">Giai đoạn</t>
  </si>
  <si>
    <t xml:space="preserve">GĐ1 29/9–12/10 nền tảng, tài khoản, hồ sơ · GĐ2 13/10–26/10 máy tính thuế và xuất xứ · GĐ3 27/10–9/11 chứng từ và xác minh · GĐ4 10/11–23/11 trợ lý AI · GĐ5 24/11–7/12 danh bạ và kết nối · GĐ6 8/12–21/12 dashboard, gia cố, pilot.</t>
  </si>
  <si>
    <t xml:space="preserve">Luồng song song</t>
  </si>
  <si>
    <t xml:space="preserve">VYBE (Duy Tân) chạy tới launch 10/10 và SIAL 17–21/10, rồi đóng băng tính năng. Dữ liệu VYBE chuyển sang evfta.eu ở tuần 12 (J6).</t>
  </si>
  <si>
    <t xml:space="preserve">Điểm nghẽn</t>
  </si>
  <si>
    <t xml:space="preserve">Người duyệt luật TM. Nhu cầu dồn vào GĐ1–GĐ2 (C0, D0, C1, C4): khoảng 11.5 ngày trong 4 tuần, trong khi 30% thời gian chỉ có 6 ngày. Xem sheet 'Tổng hợp'.</t>
  </si>
  <si>
    <t xml:space="preserve">Đính chính spec</t>
  </si>
  <si>
    <t xml:space="preserve">EUR.1 cho EVFTA do Bộ Công Thương cấp, không phải VCCI. Lô ≤ 6.000 EUR được tự chứng nhận xuất xứ. Chứng từ xuất xứ hiệu lực 12 tháng. Nguồn: backlog VYBE; luật TM xác nhận trong tuần 1.</t>
  </si>
  <si>
    <t xml:space="preserve">Cảnh báo dữ liệu</t>
  </si>
  <si>
    <t xml:space="preserve">Gạo ST25 không thuộc 9 giống gạo thơm được hạn ngạch 0% (theo backlog VYBE). Máy tính thuế phải trả 'cần kiểm thêm', không được ra 0%.</t>
  </si>
  <si>
    <t xml:space="preserve">Cần chốt tuần 1</t>
  </si>
  <si>
    <t xml:space="preserve">1) Ai xây luồng B (2 BE Python, 2 FE Next.js). 2) Người duyệt luật TM và % thời gian. 3) Kỹ sư AI từ tuần 5. 4) Hosting vùng EU, cơ chế phiên đăng nhập (ADR).</t>
  </si>
  <si>
    <t xml:space="preserve">Trạng thái</t>
  </si>
  <si>
    <t xml:space="preserve">Cột 'Trạng thái' chọn từ danh sách: Chưa bắt đầu / Đang làm / Xong / Tắc. Cột 'Người phụ trách' để trống, PO điền khi giao việc.</t>
  </si>
  <si>
    <t xml:space="preserve">Ô nhập</t>
  </si>
  <si>
    <t xml:space="preserve">Chữ xanh dương ở sheet 'Tổng hợp' là giả định năng lực. Sửa trực tiếp, các số tổng tự tính lại.</t>
  </si>
  <si>
    <t xml:space="preserve">Nguyên tắc phạm vi</t>
  </si>
  <si>
    <t xml:space="preserve">Khi trễ: giữ P0, cắt P1 trước. Không làm P2. Yêu cầu P2 từ pilot trả lời 'đưa vào lộ trình seed'.</t>
  </si>
  <si>
    <t xml:space="preserve">Giả định năng lực (sửa ô chữ xanh)</t>
  </si>
  <si>
    <t xml:space="preserve">Chỉ tiêu</t>
  </si>
  <si>
    <t xml:space="preserve">Giá trị</t>
  </si>
  <si>
    <t xml:space="preserve">Ghi chú</t>
  </si>
  <si>
    <t xml:space="preserve">Số dev (BE + FE)</t>
  </si>
  <si>
    <t xml:space="preserve">2 BE Python + 2 FE Next.js; kỹ sư AI tính riêng</t>
  </si>
  <si>
    <t xml:space="preserve">Ngày làm việc mỗi giai đoạn</t>
  </si>
  <si>
    <t xml:space="preserve">2 tuần, trừ cuối tuần</t>
  </si>
  <si>
    <t xml:space="preserve">Hệ số tập trung</t>
  </si>
  <si>
    <t xml:space="preserve">Trừ họp, sửa lỗi phát sinh, hỗ trợ VYBE</t>
  </si>
  <si>
    <t xml:space="preserve">% thời gian luật TM</t>
  </si>
  <si>
    <t xml:space="preserve">Theo spec §10; nên tăng lên 0.5–0.6 ở GĐ1–GĐ2</t>
  </si>
  <si>
    <t xml:space="preserve">Dự phòng công sức</t>
  </si>
  <si>
    <t xml:space="preserve">Ước lượng xây mới còn thô</t>
  </si>
  <si>
    <t xml:space="preserve">Theo giai đoạn</t>
  </si>
  <si>
    <t xml:space="preserve">Số hạng mục</t>
  </si>
  <si>
    <t xml:space="preserve">Dev (ngày)</t>
  </si>
  <si>
    <t xml:space="preserve">Luật TM (ngày)</t>
  </si>
  <si>
    <t xml:space="preserve">Năng lực dev (ngày)</t>
  </si>
  <si>
    <t xml:space="preserve">Dư / thiếu dev</t>
  </si>
  <si>
    <t xml:space="preserve">Năng lực luật TM (ngày)</t>
  </si>
  <si>
    <t xml:space="preserve">Dư / thiếu luật TM</t>
  </si>
  <si>
    <t xml:space="preserve">GĐ1 · T1–2 · 29/9–12/10</t>
  </si>
  <si>
    <t xml:space="preserve">GĐ2 · T3–4 · 13/10–26/10</t>
  </si>
  <si>
    <t xml:space="preserve">GĐ3 · T5–6 · 27/10–9/11</t>
  </si>
  <si>
    <t xml:space="preserve">GĐ4 · T7–8 · 10/11–23/11</t>
  </si>
  <si>
    <t xml:space="preserve">GĐ5 · T9–10 · 24/11–7/12</t>
  </si>
  <si>
    <t xml:space="preserve">GĐ6 · T11–12 · 8/12–21/12</t>
  </si>
  <si>
    <t xml:space="preserve">Sau MVP</t>
  </si>
  <si>
    <t xml:space="preserve">Không làm (P2)</t>
  </si>
  <si>
    <t xml:space="preserve">Tổng</t>
  </si>
  <si>
    <t xml:space="preserve">Dư / thiếu âm (chữ đỏ) = giai đoạn quá tải. Nhu cầu dev đã cộng dự phòng ở B7.</t>
  </si>
  <si>
    <t xml:space="preserve">Tổng thể</t>
  </si>
  <si>
    <t xml:space="preserve">Nhu cầu dev có dự phòng (ngày)</t>
  </si>
  <si>
    <t xml:space="preserve">Tổng dev × (1 + dự phòng)</t>
  </si>
  <si>
    <t xml:space="preserve">Năng lực dev 6 giai đoạn (ngày)</t>
  </si>
  <si>
    <t xml:space="preserve">Dư / thiếu dev (ngày)</t>
  </si>
  <si>
    <t xml:space="preserve">Kết luận dev</t>
  </si>
  <si>
    <t xml:space="preserve">Nhu cầu luật TM (ngày)</t>
  </si>
  <si>
    <t xml:space="preserve">Năng lực luật TM 12 tuần (ngày)</t>
  </si>
  <si>
    <t xml:space="preserve">Kết luận luật TM</t>
  </si>
  <si>
    <t xml:space="preserve">Tổng có thể đủ nhưng dồn vào đầu dự án</t>
  </si>
  <si>
    <t xml:space="preserve">Theo ưu tiên</t>
  </si>
  <si>
    <t xml:space="preserve">Ưu tiên</t>
  </si>
  <si>
    <t xml:space="preserve">P0</t>
  </si>
  <si>
    <t xml:space="preserve">P1</t>
  </si>
  <si>
    <t xml:space="preserve">P2</t>
  </si>
  <si>
    <t xml:space="preserve">—</t>
  </si>
  <si>
    <t xml:space="preserve">Theo module</t>
  </si>
  <si>
    <t xml:space="preserve">Module</t>
  </si>
  <si>
    <t xml:space="preserve">Nền tảng</t>
  </si>
  <si>
    <t xml:space="preserve">Admin</t>
  </si>
  <si>
    <t xml:space="preserve">Tài khoản</t>
  </si>
  <si>
    <t xml:space="preserve">Hồ sơ</t>
  </si>
  <si>
    <t xml:space="preserve">Tuân thủ</t>
  </si>
  <si>
    <t xml:space="preserve">Trợ lý AI</t>
  </si>
  <si>
    <t xml:space="preserve">Phi chức năng</t>
  </si>
  <si>
    <t xml:space="preserve">Thông báo</t>
  </si>
  <si>
    <t xml:space="preserve">Danh bạ</t>
  </si>
  <si>
    <t xml:space="preserve">RFQ &amp; nhắn tin</t>
  </si>
  <si>
    <t xml:space="preserve">Ghép nối</t>
  </si>
  <si>
    <t xml:space="preserve">Dashboard</t>
  </si>
  <si>
    <t xml:space="preserve">Vận hành</t>
  </si>
  <si>
    <t xml:space="preserve">Ngoài phạm vi</t>
  </si>
  <si>
    <t xml:space="preserve">Theo trạng thái</t>
  </si>
  <si>
    <t xml:space="preserve">Trong đó P0</t>
  </si>
  <si>
    <t xml:space="preserve">Chưa bắt đầu</t>
  </si>
  <si>
    <t xml:space="preserve">Đang làm</t>
  </si>
  <si>
    <t xml:space="preserve">Xong</t>
  </si>
  <si>
    <t xml:space="preserve">Tắc</t>
  </si>
  <si>
    <t xml:space="preserve">% ngày-dev đã xong</t>
  </si>
  <si>
    <t xml:space="preserve">ID</t>
  </si>
  <si>
    <t xml:space="preserve">Mục spec</t>
  </si>
  <si>
    <t xml:space="preserve">Chức năng</t>
  </si>
  <si>
    <t xml:space="preserve">Việc cần làm (kỹ thuật)</t>
  </si>
  <si>
    <t xml:space="preserve">Xong khi</t>
  </si>
  <si>
    <t xml:space="preserve">Tuần</t>
  </si>
  <si>
    <t xml:space="preserve">Vai trò</t>
  </si>
  <si>
    <t xml:space="preserve">Phụ thuộc</t>
  </si>
  <si>
    <t xml:space="preserve">Tham chiếu VYBE / bài học</t>
  </si>
  <si>
    <t xml:space="preserve">Người phụ trách</t>
  </si>
  <si>
    <t xml:space="preserve">J7</t>
  </si>
  <si>
    <t xml:space="preserve">§8</t>
  </si>
  <si>
    <t xml:space="preserve">Repo, CI/CD, môi trường</t>
  </si>
  <si>
    <t xml:space="preserve">Monorepo backend/ + frontend/; uv, ruff, mypy strict, pytest; GitHub Actions chạy lint, test, build; môi trường dev/staging/prod vùng EU; Alembic migration đầu tiên; CLAUDE.md và spec trong docs/; ADR hosting và phiên đăng nhập.</t>
  </si>
  <si>
    <t xml:space="preserve">Merge vào main tự deploy staging; CI đỏ thì chặn merge; ADR hosting và phiên đăng nhập đã ký.</t>
  </si>
  <si>
    <t xml:space="preserve">T1</t>
  </si>
  <si>
    <t xml:space="preserve">BE</t>
  </si>
  <si>
    <t xml:space="preserve">Mới — VYBE chạy .NET/XAF, không tái sử dụng</t>
  </si>
  <si>
    <t xml:space="preserve">A0</t>
  </si>
  <si>
    <t xml:space="preserve">§5.1 · §8</t>
  </si>
  <si>
    <t xml:space="preserve">Khung giao diện hai vai trò + bộ component</t>
  </si>
  <si>
    <t xml:space="preserve">Next.js App Router; layout riêng cho khách, nhà xuất khẩu, buyer, admin; bộ component cơ bản; client TypeScript sinh từ OpenAPI (npm run generate:api); i18n next-intl vi/en.</t>
  </si>
  <si>
    <t xml:space="preserve">Bốn khung layout chạy trên staging; client API sinh tự động, không viết tay kiểu dữ liệu.</t>
  </si>
  <si>
    <t xml:space="preserve">T1–2</t>
  </si>
  <si>
    <t xml:space="preserve">FE</t>
  </si>
  <si>
    <t xml:space="preserve">Mới — thay cho portal Blazor</t>
  </si>
  <si>
    <t xml:space="preserve">I6</t>
  </si>
  <si>
    <t xml:space="preserve">§4.11 · §6</t>
  </si>
  <si>
    <t xml:space="preserve">Nhật ký kiểm toán (AuditLog)</t>
  </si>
  <si>
    <t xml:space="preserve">Bảng audit_logs (actor, action, entity, before, after, at) append-only; ghi qua một service chung dùng cho mọi module; màn hình admin lọc theo đối tượng.</t>
  </si>
  <si>
    <t xml:space="preserve">Quyết định xác minh, câu trả lời AI, lần sinh chứng từ đều có người, lúc, trước, sau.</t>
  </si>
  <si>
    <t xml:space="preserve">T2</t>
  </si>
  <si>
    <t xml:space="preserve">BE + FE</t>
  </si>
  <si>
    <t xml:space="preserve">VYBE I6 — nhật ký bị ẩn khỏi menu admin</t>
  </si>
  <si>
    <t xml:space="preserve">A1</t>
  </si>
  <si>
    <t xml:space="preserve">§5.1 · §4.1 · §6</t>
  </si>
  <si>
    <t xml:space="preserve">Đăng ký, đăng nhập, phiên, phân quyền</t>
  </si>
  <si>
    <t xml:space="preserve">Bảng users (email, phone, password_hash Argon2, role, preferred_language, consent_accepted_at, consent_version, last_login_at); /register đọc ?type=buyer|exporter; phiên cookie HTTP-only; mật khẩu ≥ 10 ký tự; khóa 15 phút sau 5 lần sai; phân quyền bằng dependency FastAPI trên mọi route.</t>
  </si>
  <si>
    <t xml:space="preserve">Lưu đủ trường; ?type=buyer chọn sẵn Buyer; mật khẩu rỗng bị chặn ở server (test đủ 4 vai trò); sai 5 lần bị khóa 15 phút.</t>
  </si>
  <si>
    <t xml:space="preserve">VYBE A1, A2 — từng vào được admin bằng mật khẩu rỗng</t>
  </si>
  <si>
    <t xml:space="preserve">A2</t>
  </si>
  <si>
    <t xml:space="preserve">§5.1</t>
  </si>
  <si>
    <t xml:space="preserve">Wizard tạo hồ sơ ngay sau đăng ký</t>
  </si>
  <si>
    <t xml:space="preserve">3 bước: pháp lý → sản phẩm/mã HS → bằng chứng; lưu nháp từng bước; tài khoản chưa có công ty luôn được nhắc.</t>
  </si>
  <si>
    <t xml:space="preserve">Từ trang chủ tới hồ sơ nháp đã lưu dưới 3 phút trên điện thoại và máy tính (đo với 3 người).</t>
  </si>
  <si>
    <t xml:space="preserve">A1, B1</t>
  </si>
  <si>
    <t xml:space="preserve">VYBE A3</t>
  </si>
  <si>
    <t xml:space="preserve">A3</t>
  </si>
  <si>
    <t xml:space="preserve">§5.1 · §6</t>
  </si>
  <si>
    <t xml:space="preserve">Song ngữ Việt/Anh toàn hệ thống</t>
  </si>
  <si>
    <t xml:space="preserve">Mọi chuỗi giao diện qua next-intl; email và thông báo dùng mẫu song ngữ ở backend; nút đổi ngôn ngữ lưu preferred_language + cookie; bước CI báo chuỗi cứng.</t>
  </si>
  <si>
    <t xml:space="preserve">Không còn chuỗi cứng; đổi ngôn ngữ không mất dữ liệu đang nhập.</t>
  </si>
  <si>
    <t xml:space="preserve">T1–11</t>
  </si>
  <si>
    <t xml:space="preserve">VYBE A4 — portal chỉ có tiếng Anh</t>
  </si>
  <si>
    <t xml:space="preserve">B1</t>
  </si>
  <si>
    <t xml:space="preserve">§5.2 · §4.2</t>
  </si>
  <si>
    <t xml:space="preserve">Hồ sơ nhà xuất khẩu có cấu trúc</t>
  </si>
  <si>
    <t xml:space="preserve">Bảng companies: legal_name, registration_number, tax_id, country, industry_sector, founded_year, export_markets (N-N countries), languages_spoken, description_vi, description_en, website, logo; API CRUD + màn hình sửa.</t>
  </si>
  <si>
    <t xml:space="preserve">Mọi trường dùng để lọc/ghép là cột riêng, không nằm trong mô tả; lọc được qua API.</t>
  </si>
  <si>
    <t xml:space="preserve">VYBE B1</t>
  </si>
  <si>
    <t xml:space="preserve">B2</t>
  </si>
  <si>
    <t xml:space="preserve">Hồ sơ buyer có cấu trúc</t>
  </si>
  <si>
    <t xml:space="preserve">companies (type = buyer): industry, sourcing_categories (N-N nhóm hàng/HS), company_size, procurement_estimate, vat_number.</t>
  </si>
  <si>
    <t xml:space="preserve">Buyer lưu được nhóm hàng quan tâm; dùng được cho K1 và G2.</t>
  </si>
  <si>
    <t xml:space="preserve">VYBE B2</t>
  </si>
  <si>
    <t xml:space="preserve">B3</t>
  </si>
  <si>
    <t xml:space="preserve">§5.2</t>
  </si>
  <si>
    <t xml:space="preserve">Điểm hoàn thiện hồ sơ + danh sách còn thiếu</t>
  </si>
  <si>
    <t xml:space="preserve">Hàm tính profile_completeness_score theo bảng trọng số cấu hình được; API trả danh sách trường thiếu; hiện trên hồ sơ và dashboard.</t>
  </si>
  <si>
    <t xml:space="preserve">Điền thêm 1 trường thì % tăng đúng trọng số; danh sách thiếu khớp thực tế.</t>
  </si>
  <si>
    <t xml:space="preserve">VYBE B3</t>
  </si>
  <si>
    <t xml:space="preserve">B4</t>
  </si>
  <si>
    <t xml:space="preserve">§4.2–4.3 · §5.3</t>
  </si>
  <si>
    <t xml:space="preserve">Danh mục mã HS và nhóm hàng</t>
  </si>
  <si>
    <t xml:space="preserve">Bảng hs_codes (code 6–8 số, name_vi, name_en, chapter, is_calculator_supported); nhóm hàng ánh xạ theo chương HS; API gợi ý dùng pg_trgm + unaccent theo mã hoặc tên Việt/Anh.</t>
  </si>
  <si>
    <t xml:space="preserve">Gõ 'gạo', 'rice' hoặc '1006' đều gợi ý đúng mã; mã được hỗ trợ có cờ.</t>
  </si>
  <si>
    <t xml:space="preserve">C0</t>
  </si>
  <si>
    <t xml:space="preserve">VYBE B4 — tag cũ Gold Supplier/OEM, không có mã HS</t>
  </si>
  <si>
    <t xml:space="preserve">B5</t>
  </si>
  <si>
    <t xml:space="preserve">§4.3</t>
  </si>
  <si>
    <t xml:space="preserve">Sản phẩm có cấu trúc</t>
  </si>
  <si>
    <t xml:space="preserve">Bảng products: hs_code (FK, bắt buộc), name, description_vi/en, price_min, price_max (numeric), currency, unit, moq, moq_unit, certifications (N-N evidences), images, is_active, approval_status.</t>
  </si>
  <si>
    <t xml:space="preserve">Không lưu được sản phẩm thiếu mã HS; hồ sơ công khai hiện đủ trường.</t>
  </si>
  <si>
    <t xml:space="preserve">VYBE B5</t>
  </si>
  <si>
    <t xml:space="preserve">§5.3 · §9 · §10</t>
  </si>
  <si>
    <t xml:space="preserve">Chốt danh mục HS hỗ trợ + người duyệt luật TM</t>
  </si>
  <si>
    <t xml:space="preserve">Chỉ định người duyệt; chốt 20 mã đợt đầu theo nhóm hàng SIAL, sau đó đủ 50 mã; quy ước mỗi dòng dữ liệu tuân thủ có người duyệt + ngày duyệt.</t>
  </si>
  <si>
    <t xml:space="preserve">Danh sách 20 mã đã ký trước 10/10; đủ 50 mã đã ký trước 9/11.</t>
  </si>
  <si>
    <t xml:space="preserve">PO + Luật TM</t>
  </si>
  <si>
    <t xml:space="preserve">VYBE C0 — điểm nghẽn của mọi hạng mục C và D</t>
  </si>
  <si>
    <t xml:space="preserve">D0</t>
  </si>
  <si>
    <t xml:space="preserve">§5.4 · §9</t>
  </si>
  <si>
    <t xml:space="preserve">Thu thập kho tài liệu pháp lý</t>
  </si>
  <si>
    <t xml:space="preserve">Thu thập văn bản EVFTA, Nghị định thư 1 về xuất xứ, quy tắc theo mã cho các mã hỗ trợ, FAQ đã duyệt, hướng dẫn hải quan EU (lớp tham khảo); mỗi văn bản ghi nguồn, điều/phụ lục, ngày hiệu lực.</t>
  </si>
  <si>
    <t xml:space="preserve">Kho đủ cho 50 mã; luật TM ký danh mục văn bản.</t>
  </si>
  <si>
    <t xml:space="preserve">T1–6</t>
  </si>
  <si>
    <t xml:space="preserve">Luật TM</t>
  </si>
  <si>
    <t xml:space="preserve">VYBE D1 — spec cảnh báo đây là đường găng</t>
  </si>
  <si>
    <t xml:space="preserve">C1</t>
  </si>
  <si>
    <t xml:space="preserve">§5.3a</t>
  </si>
  <si>
    <t xml:space="preserve">Bảng dòng thuế EU (MFN / EVFTA)</t>
  </si>
  <si>
    <t xml:space="preserve">Bảng tariff_lines: hs_code, destination, duty_type (ad valorem/specific/mixed), mfn_rate, mfn_specific, evfta_rate_current, staging_category, zero_from, quota_required, quota_note, condition_note, source_url, reviewed_by, reviewed_at, valid_from, valid_until; màn hình admin nhập + duyệt; API lọc bỏ dòng chưa duyệt.</t>
  </si>
  <si>
    <t xml:space="preserve">20 dòng nhập đủ; dòng thiếu reviewed_by không bao giờ hiện ra ngoài.</t>
  </si>
  <si>
    <t xml:space="preserve">T2–3</t>
  </si>
  <si>
    <t xml:space="preserve">BE + Luật TM</t>
  </si>
  <si>
    <t xml:space="preserve">C0, B4</t>
  </si>
  <si>
    <t xml:space="preserve">VYBE C1</t>
  </si>
  <si>
    <t xml:space="preserve">C3</t>
  </si>
  <si>
    <t xml:space="preserve">§4.4</t>
  </si>
  <si>
    <t xml:space="preserve">Nhật ký mỗi lần tính (ComplianceCheck)</t>
  </si>
  <si>
    <t xml:space="preserve">Bảng compliance_checks theo §4.4 (company_id nullable cho khách), append-only; ghi mọi lần chạy C2 và C4; admin xuất CSV.</t>
  </si>
  <si>
    <t xml:space="preserve">Mỗi lần tính có đúng 1 bản ghi, kể cả khách; xuất CSV được.</t>
  </si>
  <si>
    <t xml:space="preserve">T3</t>
  </si>
  <si>
    <t xml:space="preserve">VYBE C3</t>
  </si>
  <si>
    <t xml:space="preserve">J1</t>
  </si>
  <si>
    <t xml:space="preserve">§6 · §8</t>
  </si>
  <si>
    <t xml:space="preserve">Tách endpoint công khai + giới hạn tần suất</t>
  </si>
  <si>
    <t xml:space="preserve">/api/public/* không cần đăng nhập, giới hạn theo IP (slowapi) + CDN; mọi endpoint khác kiểm quyền ở server.</t>
  </si>
  <si>
    <t xml:space="preserve">Quá 30 yêu cầu/phút/IP trả 429; endpoint cần đăng nhập trả 401 khi thiếu phiên.</t>
  </si>
  <si>
    <t xml:space="preserve">VYBE J1</t>
  </si>
  <si>
    <t xml:space="preserve">C2</t>
  </si>
  <si>
    <t xml:space="preserve">Máy tính tiết kiệm thuế — khách dùng không cần đăng nhập</t>
  </si>
  <si>
    <t xml:space="preserve">Trang /tools/tariff (render phía server) + POST /api/public/tariff: mã HS, giá trị lô, nước EU, số lô/năm → thuế MFN, thuế EVFTA, số tiền chênh (Decimal) hiển thị lớn, dự báo năm, điều kiện hưởng; mã ngoài danh mục → 'chưa hỗ trợ – liên hệ'; hạn ngạch hoặc thuế tuyệt đối → 'cần kiểm thêm'; nút xem nhà cung cấp có chứng từ xuất xứ.</t>
  </si>
  <si>
    <t xml:space="preserve">20 mã khớp bảng đã duyệt (test chuẩn); mã ngoài danh mục không bao giờ ra con số; gạo ST25 hiện cảnh báo giống/hạn ngạch.</t>
  </si>
  <si>
    <t xml:space="preserve">T3–4</t>
  </si>
  <si>
    <t xml:space="preserve">C1, C3, J1</t>
  </si>
  <si>
    <t xml:space="preserve">VYBE C2 — ST25 không được ra 0%</t>
  </si>
  <si>
    <t xml:space="preserve">C4</t>
  </si>
  <si>
    <t xml:space="preserve">§5.3b</t>
  </si>
  <si>
    <t xml:space="preserve">Máy tính quy tắc xuất xứ (Đạt / Không đạt / Chưa kết luận)</t>
  </si>
  <si>
    <t xml:space="preserve">Bảng product_specific_rules (hs_code, rule_type WO/CTH/MaxNOM%, threshold, rule_text, requires_expert, source, reviewed_by); trang nhập giá xuất xưởng + danh sách nguyên liệu (xuất xứ, giá trị) → % nguyên liệu không xuất xứ so với ngưỡng; requires_expert = true thì luôn 'Chưa kết luận'; test chuẩn theo ca luật TM soạn.</t>
  </si>
  <si>
    <t xml:space="preserve">20 mã có quy tắc đã duyệt; 10/10 ca kiểm do luật TM soạn cho kết quả đúng; không gộp 3 trạng thái.</t>
  </si>
  <si>
    <t xml:space="preserve">T4–6</t>
  </si>
  <si>
    <t xml:space="preserve">BE + FE + Luật TM</t>
  </si>
  <si>
    <t xml:space="preserve">C0, C3</t>
  </si>
  <si>
    <t xml:space="preserve">VYBE C4</t>
  </si>
  <si>
    <t xml:space="preserve">I7</t>
  </si>
  <si>
    <t xml:space="preserve">§4.2</t>
  </si>
  <si>
    <t xml:space="preserve">Trạng thái và mức xác minh theo spec</t>
  </si>
  <si>
    <t xml:space="preserve">companies.verification_status (unverified/pending/verified/rejected), verification_level (basic/evfta_verified), verified_at, expires_at; job quét hằng ngày tự hạ khi hết hạn.</t>
  </si>
  <si>
    <t xml:space="preserve">Mọi công ty có trạng thái, mức, ngày; hết hạn thì tự hạ.</t>
  </si>
  <si>
    <t xml:space="preserve">T5</t>
  </si>
  <si>
    <t xml:space="preserve">VYBE I7 — L0–L3 cũ sẽ ánh xạ khi chuyển dữ liệu</t>
  </si>
  <si>
    <t xml:space="preserve">I1</t>
  </si>
  <si>
    <t xml:space="preserve">§5.10 · §4.6</t>
  </si>
  <si>
    <t xml:space="preserve">Hàng đợi hồ sơ chờ xác minh</t>
  </si>
  <si>
    <t xml:space="preserve">Bảng verification_requests (§4.6); màn hình admin 'Chờ duyệt' lọc pending, sắp theo ngày gửi, xem bằng chứng ngay trên dòng.</t>
  </si>
  <si>
    <t xml:space="preserve">Một màn hình thấy toàn bộ hồ sơ chờ.</t>
  </si>
  <si>
    <t xml:space="preserve">VYBE I1</t>
  </si>
  <si>
    <t xml:space="preserve">C6</t>
  </si>
  <si>
    <t xml:space="preserve">§4.2 · §5.2</t>
  </si>
  <si>
    <t xml:space="preserve">Bằng chứng xuất xứ + danh sách bắt buộc theo nhóm hàng</t>
  </si>
  <si>
    <t xml:space="preserve">Bảng evidences: loại (chứng nhận chất lượng, EUR.1 đã cấp — che giá, tự chứng nhận xuất xứ lô ≤ 6.000 EUR, chứng nhận gạo thơm NĐ 103/2020, hồ sơ EUDR, giấy khai thác IUU), file, issued_at, expires_at (xuất xứ: +12 tháng), approval_status; danh sách bắt buộc theo nhóm hàng; 'EVFTA-verified' = verified + đủ bằng chứng bắt buộc còn hạn.</t>
  </si>
  <si>
    <t xml:space="preserve">Hồ sơ hiện danh sách kiểm theo nhóm hàng; bằng chứng hết hạn thì tự hạ mức.</t>
  </si>
  <si>
    <t xml:space="preserve">T5–6</t>
  </si>
  <si>
    <t xml:space="preserve">B1, B4, I7</t>
  </si>
  <si>
    <t xml:space="preserve">VYBE C6</t>
  </si>
  <si>
    <t xml:space="preserve">I2</t>
  </si>
  <si>
    <t xml:space="preserve">§5.10</t>
  </si>
  <si>
    <t xml:space="preserve">Duyệt / Từ chối có lý do / Yêu cầu bổ sung</t>
  </si>
  <si>
    <t xml:space="preserve">Ba hành động; lý do bắt buộc khi từ chối hoặc yêu cầu bổ sung; bảng verification_decisions (reviewer, decision, reason, at); email báo doanh nghiệp.</t>
  </si>
  <si>
    <t xml:space="preserve">Chờ duyệt → đã xác minh dưới 5 phút; 100% quyết định có lý do trong nhật ký.</t>
  </si>
  <si>
    <t xml:space="preserve">I1, I6, H2</t>
  </si>
  <si>
    <t xml:space="preserve">VYBE I2 — từng duyệt chứng nhận AI báo gian lận</t>
  </si>
  <si>
    <t xml:space="preserve">C5</t>
  </si>
  <si>
    <t xml:space="preserve">§5.3c · §4.5</t>
  </si>
  <si>
    <t xml:space="preserve">Bản nháp EUR.1 (PDF có watermark)</t>
  </si>
  <si>
    <t xml:space="preserve">Điền mẫu EUR.1 bằng pypdf + ReportLab qua job nền; watermark 'DRAFT — for review before submission to issuing authority' mọi trang; dữ liệu từ công ty + kết quả C4 + hóa đơn; bảng documents (§4.5) lưu file S3 + trạng thái; ghi rõ cơ quan cấp chính thức là Bộ Công Thương.</t>
  </si>
  <si>
    <t xml:space="preserve">Chỉ sinh được khi C4 = Đạt; watermark mọi trang; mỗi lần sinh có nhật ký.</t>
  </si>
  <si>
    <t xml:space="preserve">VYBE C5 — spec ghi VCCI, đính chính: Bộ Công Thương</t>
  </si>
  <si>
    <t xml:space="preserve">H2</t>
  </si>
  <si>
    <t xml:space="preserve">§5.9</t>
  </si>
  <si>
    <t xml:space="preserve">Email thông báo</t>
  </si>
  <si>
    <t xml:space="preserve">Interface NotificationChannel (email trước, Zalo/SMS sau); job nền gửi: tin nhắn mới, RFQ mới, đổi trạng thái xác minh, khớp tìm kiếm đã lưu, sắp hết hạn xác minh (quét hằng ngày); mẫu email song ngữ.</t>
  </si>
  <si>
    <t xml:space="preserve">5 loại email gửi đúng, link đúng trang; RFQ mới có mail trong 1 phút.</t>
  </si>
  <si>
    <t xml:space="preserve">T6 và T10</t>
  </si>
  <si>
    <t xml:space="preserve">VYBE H2</t>
  </si>
  <si>
    <t xml:space="preserve">I4</t>
  </si>
  <si>
    <t xml:space="preserve">Xem và kiểm duyệt mọi hồ sơ, sản phẩm</t>
  </si>
  <si>
    <t xml:space="preserve">Màn hình admin xem, sửa, ẩn mọi hồ sơ và sản phẩm; mỗi thao tác ghi audit.</t>
  </si>
  <si>
    <t xml:space="preserve">Admin ẩn/sửa được mọi hồ sơ và sản phẩm; mỗi thao tác có nhật ký.</t>
  </si>
  <si>
    <t xml:space="preserve">T6</t>
  </si>
  <si>
    <t xml:space="preserve">VYBE I4 — XAF có sẵn, nền mới phải tự làm</t>
  </si>
  <si>
    <t xml:space="preserve">I5</t>
  </si>
  <si>
    <t xml:space="preserve">Dashboard nội bộ</t>
  </si>
  <si>
    <t xml:space="preserve">Số doanh nghiệp đã xác minh, hồ sơ chờ, câu hỏi AI tuần này, độ tin cậy trung bình (2 chỉ số AI bổ sung sau D3).</t>
  </si>
  <si>
    <t xml:space="preserve">Số trên dashboard khớp đếm tay.</t>
  </si>
  <si>
    <t xml:space="preserve">T6 và T8</t>
  </si>
  <si>
    <t xml:space="preserve">I7, D3</t>
  </si>
  <si>
    <t xml:space="preserve">VYBE I5</t>
  </si>
  <si>
    <t xml:space="preserve">D1</t>
  </si>
  <si>
    <t xml:space="preserve">§5.4 · §8</t>
  </si>
  <si>
    <t xml:space="preserve">Pipeline cắt đoạn, nhúng, truy xuất</t>
  </si>
  <si>
    <t xml:space="preserve">Module app/copilot: cắt đoạn giữ điều/phụ lục; embedding đa ngữ lưu pgvector; truy xuất chính xác + lọc theo mã HS; nạp lại kho bằng lệnh, không cần deploy web.</t>
  </si>
  <si>
    <t xml:space="preserve">Mỗi đoạn truy xuất có nguồn; nạp lại kho không cần deploy.</t>
  </si>
  <si>
    <t xml:space="preserve">T6–7</t>
  </si>
  <si>
    <t xml:space="preserve">AI</t>
  </si>
  <si>
    <t xml:space="preserve">VYBE D1</t>
  </si>
  <si>
    <t xml:space="preserve">D4</t>
  </si>
  <si>
    <t xml:space="preserve">§5.4</t>
  </si>
  <si>
    <t xml:space="preserve">Bộ đánh giá 50 câu chạy trong CI</t>
  </si>
  <si>
    <t xml:space="preserve">Bộ 50 câu do luật TM soạn và duyệt; script eval chạy trong CI; báo độ chính xác và độ đúng trích nguồn tách riêng; so sánh giữa các lần đổi prompt/embedding.</t>
  </si>
  <si>
    <t xml:space="preserve">Mỗi thay đổi prompt hoặc truy xuất có báo cáo chênh lệch.</t>
  </si>
  <si>
    <t xml:space="preserve">T7</t>
  </si>
  <si>
    <t xml:space="preserve">Mới</t>
  </si>
  <si>
    <t xml:space="preserve">D2</t>
  </si>
  <si>
    <t xml:space="preserve">Trợ lý hỏi đáp tuân thủ (trích nguồn, mức tin cậy)</t>
  </si>
  <si>
    <t xml:space="preserve">Trang /copilot Việt/Anh; chỉ trả lời từ đoạn truy xuất; trích nguồn hiển thị rõ; mức tin cậy Cao/TB/Thấp/Ngoài phạm vi; nút chuyển người thật tạo phiếu cho admin; LLM qua interface ChatModel.</t>
  </si>
  <si>
    <t xml:space="preserve">Bộ 50 câu đạt ngưỡng luật TM ký; câu ngoài phạm vi trả 'ngoài phạm vi' 100%.</t>
  </si>
  <si>
    <t xml:space="preserve">T7–8</t>
  </si>
  <si>
    <t xml:space="preserve">AI + BE + FE</t>
  </si>
  <si>
    <t xml:space="preserve">D1, D4</t>
  </si>
  <si>
    <t xml:space="preserve">VYBE D2 — dùng lại kinh nghiệm gọi LLM của AI Trust Co-pilot</t>
  </si>
  <si>
    <t xml:space="preserve">D3</t>
  </si>
  <si>
    <t xml:space="preserve">§4.10 · §5.10</t>
  </si>
  <si>
    <t xml:space="preserve">Nhật ký AIQuery + admin soát câu yếu</t>
  </si>
  <si>
    <t xml:space="preserve">Bảng ai_queries (§4.10) gồm chunk_ids, citations, confidence, model_version, was_helpful, escalated; nút hữu ích/không; màn hình admin lọc câu tin cậy thấp hoặc bị đánh giá không hữu ích; chọn mẫu soát hằng tuần.</t>
  </si>
  <si>
    <t xml:space="preserve">100% câu hỏi được ghi; admin thấy danh sách câu tin cậy thấp.</t>
  </si>
  <si>
    <t xml:space="preserve">T8</t>
  </si>
  <si>
    <t xml:space="preserve">VYBE D3</t>
  </si>
  <si>
    <t xml:space="preserve">E1</t>
  </si>
  <si>
    <t xml:space="preserve">§5.5</t>
  </si>
  <si>
    <t xml:space="preserve">Chỉ hiện doanh nghiệp đã xác minh</t>
  </si>
  <si>
    <t xml:space="preserve">Truy vấn công khai chỉ lấy verified; test tự động cho unverified, pending, rejected.</t>
  </si>
  <si>
    <t xml:space="preserve">Test xanh: hồ sơ chưa xác minh không xuất hiện.</t>
  </si>
  <si>
    <t xml:space="preserve">T9</t>
  </si>
  <si>
    <t xml:space="preserve">BE + QA</t>
  </si>
  <si>
    <t xml:space="preserve">VYBE E1 — đã đạt ở VYBE, giữ quy tắc</t>
  </si>
  <si>
    <t xml:space="preserve">E2</t>
  </si>
  <si>
    <t xml:space="preserve">Tìm và lọc theo HS, nhóm hàng, quốc gia, chứng nhận, từ khóa Việt/Anh</t>
  </si>
  <si>
    <t xml:space="preserve">Trang /suppliers render phía server; tìm gộp tên công ty, sản phẩm, tên HS Việt/Anh, chứng nhận đã duyệt bằng unaccent + pg_trgm; bộ lọc HS, nhóm hàng, quốc gia, chứng nhận; ô trống liệt kê mọi doanh nghiệp đã xác minh; index các cột lọc.</t>
  </si>
  <si>
    <t xml:space="preserve">'gạo', 'rice', '1006' đều ra đúng doanh nghiệp; lọc HS + quốc gia đúng; dưới 2 giây với 500 doanh nghiệp thử.</t>
  </si>
  <si>
    <t xml:space="preserve">B1, B4, B5, E1</t>
  </si>
  <si>
    <t xml:space="preserve">VYBE E2 — 'rice', 'HACCP', ô trống đều ra 0 kết quả</t>
  </si>
  <si>
    <t xml:space="preserve">E3</t>
  </si>
  <si>
    <t xml:space="preserve">Thẻ kết quả đủ thông tin + nút yêu cầu báo giá</t>
  </si>
  <si>
    <t xml:space="preserve">Thẻ: tên, huy hiệu xác minh, nhóm hàng, quốc gia, mô tả ngắn song ngữ, nút yêu cầu báo giá.</t>
  </si>
  <si>
    <t xml:space="preserve">Thẻ có đủ 6 thông tin theo §5.5.</t>
  </si>
  <si>
    <t xml:space="preserve">VYBE E3</t>
  </si>
  <si>
    <t xml:space="preserve">E4</t>
  </si>
  <si>
    <t xml:space="preserve">§6</t>
  </si>
  <si>
    <t xml:space="preserve">Trang Giới thiệu, Điều khoản, Bảo mật</t>
  </si>
  <si>
    <t xml:space="preserve">Trang Giới thiệu, Điều khoản (câu miễn trừ cho huy hiệu xác minh), Bảo mật; kiểm độ tương phản màu.</t>
  </si>
  <si>
    <t xml:space="preserve">Không còn link trỏ '#'; độ tương phản chữ ≥ 4.5:1.</t>
  </si>
  <si>
    <t xml:space="preserve">VYBE E4</t>
  </si>
  <si>
    <t xml:space="preserve">H1</t>
  </si>
  <si>
    <t xml:space="preserve">§5.9 · §4.9</t>
  </si>
  <si>
    <t xml:space="preserve">Trung tâm thông báo (chuông, số chưa đọc)</t>
  </si>
  <si>
    <t xml:space="preserve">Bảng notifications (§4.9: type, payload jsonb, is_read, link); chuông + số chưa đọc trên header; cập nhật bằng polling.</t>
  </si>
  <si>
    <t xml:space="preserve">Mỗi loại thông báo mở đúng trang liên quan.</t>
  </si>
  <si>
    <t xml:space="preserve">VYBE H1</t>
  </si>
  <si>
    <t xml:space="preserve">F1</t>
  </si>
  <si>
    <t xml:space="preserve">§5.7</t>
  </si>
  <si>
    <t xml:space="preserve">RFQ có cấu trúc + theo dõi trạng thái</t>
  </si>
  <si>
    <t xml:space="preserve">Bảng rfqs: product (FK), quantity + unit, target_price + currency, incoterms (enum), destination country/port, required_date, message; trạng thái Mới / Đã xem / Đã báo giá / Đóng.</t>
  </si>
  <si>
    <t xml:space="preserve">Buyer gửi đủ trường; seller đổi trạng thái; buyer thấy thay đổi.</t>
  </si>
  <si>
    <t xml:space="preserve">VYBE F1</t>
  </si>
  <si>
    <t xml:space="preserve">F2</t>
  </si>
  <si>
    <t xml:space="preserve">§5.7 · §4.7</t>
  </si>
  <si>
    <t xml:space="preserve">Hội thoại theo cặp công ty</t>
  </si>
  <si>
    <t xml:space="preserve">Bảng conversations + messages (§4.7); mỗi RFQ tự mở hội thoại; cập nhật gần thời gian thực bằng polling hoặc SSE, chưa cần WebSocket.</t>
  </si>
  <si>
    <t xml:space="preserve">Hai bên nhắn qua lại trong một luồng gắn với RFQ.</t>
  </si>
  <si>
    <t xml:space="preserve">T10</t>
  </si>
  <si>
    <t xml:space="preserve">VYBE F2</t>
  </si>
  <si>
    <t xml:space="preserve">F3</t>
  </si>
  <si>
    <t xml:space="preserve">Dịch máy mọi tin nhắn</t>
  </si>
  <si>
    <t xml:space="preserve">TranslationService (DeepL) gọi lúc gửi; lưu body_original, body_translated và hai ngôn ngữ; ngôn ngữ đích = preferred_language của người nhận; nút xem bản gốc; lỗi dịch vẫn gửi bản gốc.</t>
  </si>
  <si>
    <t xml:space="preserve">Người chỉ biết tiếng Việt và người chỉ biết tiếng Anh hoàn tất một vòng RFQ → trả lời.</t>
  </si>
  <si>
    <t xml:space="preserve">F2, A1</t>
  </si>
  <si>
    <t xml:space="preserve">VYBE F3</t>
  </si>
  <si>
    <t xml:space="preserve">K1</t>
  </si>
  <si>
    <t xml:space="preserve">§5.6 · §4.8</t>
  </si>
  <si>
    <t xml:space="preserve">Lưu tìm kiếm</t>
  </si>
  <si>
    <t xml:space="preserve">Bảng saved_searches (criteria jsonb: hs_codes, countries, keywords; last_notified_at); nút Lưu trên trang tìm kiếm.</t>
  </si>
  <si>
    <t xml:space="preserve">Buyer lưu và mở lại được tìm kiếm.</t>
  </si>
  <si>
    <t xml:space="preserve">VYBE K1</t>
  </si>
  <si>
    <t xml:space="preserve">K2</t>
  </si>
  <si>
    <t xml:space="preserve">§5.6</t>
  </si>
  <si>
    <t xml:space="preserve">Báo khi có nhà cung cấp mới khớp</t>
  </si>
  <si>
    <t xml:space="preserve">Khi công ty chuyển verified → job so khớp mọi saved_search → notification + email.</t>
  </si>
  <si>
    <t xml:space="preserve">Duyệt một doanh nghiệp khớp → buyer nhận thông báo trong 24 giờ (test: dưới 5 phút).</t>
  </si>
  <si>
    <t xml:space="preserve">K1, H1, H2</t>
  </si>
  <si>
    <t xml:space="preserve">VYBE K2</t>
  </si>
  <si>
    <t xml:space="preserve">J2</t>
  </si>
  <si>
    <t xml:space="preserve">GDPR: đồng ý, tối thiểu dữ liệu, quyền xóa</t>
  </si>
  <si>
    <t xml:space="preserve">Consent lưu ở A1; hành động 'Xóa tài khoản và dữ liệu' ẩn danh hóa dữ liệu cá nhân, giữ nhật ký kiểm toán; trang Chính sách bảo mật; rà trường thu thập.</t>
  </si>
  <si>
    <t xml:space="preserve">Yêu cầu xóa xử lý xong trong hệ thống; dữ liệu cá nhân không còn đọc được; nhật ký kiểm toán còn nguyên.</t>
  </si>
  <si>
    <t xml:space="preserve">A1, I6</t>
  </si>
  <si>
    <t xml:space="preserve">VYBE J2</t>
  </si>
  <si>
    <t xml:space="preserve">G1</t>
  </si>
  <si>
    <t xml:space="preserve">§5.8</t>
  </si>
  <si>
    <t xml:space="preserve">Dashboard nhà xuất khẩu</t>
  </si>
  <si>
    <t xml:space="preserve">Ô: % hoàn thiện + còn thiếu; lượt xem hồ sơ tuần này (bảng profile_views); RFQ mới; trạng thái xác minh + đếm ngược hạn; tổng tiết kiệm thuế từ compliance_checks; câu hỏi trợ lý AI gần đây.</t>
  </si>
  <si>
    <t xml:space="preserve">Mỗi ô lấy số thật; ô chưa có dữ liệu hiện hướng dẫn thay vì để trống.</t>
  </si>
  <si>
    <t xml:space="preserve">T11</t>
  </si>
  <si>
    <t xml:space="preserve">B3, F1, C3, D3</t>
  </si>
  <si>
    <t xml:space="preserve">VYBE G1</t>
  </si>
  <si>
    <t xml:space="preserve">G2</t>
  </si>
  <si>
    <t xml:space="preserve">Dashboard buyer</t>
  </si>
  <si>
    <t xml:space="preserve">Ô: tìm kiếm đã lưu + kết quả mới; RFQ đã gửi + trạng thái; nhà cung cấp xem gần đây; nhà cung cấp mới được xác minh tuần này trong nhóm hàng quan tâm.</t>
  </si>
  <si>
    <t xml:space="preserve">Mỗi ô lấy số thật.</t>
  </si>
  <si>
    <t xml:space="preserve">K1, F1, B2</t>
  </si>
  <si>
    <t xml:space="preserve">VYBE G2</t>
  </si>
  <si>
    <t xml:space="preserve">G3</t>
  </si>
  <si>
    <t xml:space="preserve">Đo tỷ lệ quay lại có thông tin mới</t>
  </si>
  <si>
    <t xml:space="preserve">Ghi sự kiện mỗi lần mở dashboard + có/không có thông tin mới; báo cáo theo tuần.</t>
  </si>
  <si>
    <t xml:space="preserve">Admin xem tỷ lệ theo tuần; mục tiêu spec 90%.</t>
  </si>
  <si>
    <t xml:space="preserve">G1, G2</t>
  </si>
  <si>
    <t xml:space="preserve">VYBE G3</t>
  </si>
  <si>
    <t xml:space="preserve">J3</t>
  </si>
  <si>
    <t xml:space="preserve">Dùng đầy đủ trên điện thoại cho luồng nhà xuất khẩu</t>
  </si>
  <si>
    <t xml:space="preserve">Kiểm và sửa đăng ký, hồ sơ, sản phẩm, bằng chứng, RFQ ở bề rộng 390px.</t>
  </si>
  <si>
    <t xml:space="preserve">Hoàn tất onboarding trên điện thoại không cần phóng to.</t>
  </si>
  <si>
    <t xml:space="preserve">FE + QA</t>
  </si>
  <si>
    <t xml:space="preserve">A2, B5, C6, F1</t>
  </si>
  <si>
    <t xml:space="preserve">VYBE J3</t>
  </si>
  <si>
    <t xml:space="preserve">J6</t>
  </si>
  <si>
    <t xml:space="preserve">§11</t>
  </si>
  <si>
    <t xml:space="preserve">Chuyển dữ liệu từ VYBE sang evfta.eu</t>
  </si>
  <si>
    <t xml:space="preserve">Script chuyển users, companies, products, evidences từ VYBE (XPO; định dạng nguồn cần Duy Tân xác nhận) sang PostgreSQL; ánh xạ L0–L3 sang trạng thái + mức; chạy thử tuần 10, chạy thật tuần 12; đối soát số lượng.</t>
  </si>
  <si>
    <t xml:space="preserve">100% doanh nghiệp, sản phẩm, bằng chứng còn hạn được chuyển; đối soát khớp.</t>
  </si>
  <si>
    <t xml:space="preserve">T10 và T12</t>
  </si>
  <si>
    <t xml:space="preserve">B1, B5, C6, I7</t>
  </si>
  <si>
    <t xml:space="preserve">Mới — cần dump dữ liệu VYBE</t>
  </si>
  <si>
    <t xml:space="preserve">J4</t>
  </si>
  <si>
    <t xml:space="preserve">Hiệu năng trang công khai</t>
  </si>
  <si>
    <t xml:space="preserve">Đo trên 4G giả lập; nạp 500 doanh nghiệp thử.</t>
  </si>
  <si>
    <t xml:space="preserve">Trang công khai dưới 3 giây; tìm kiếm dưới 2 giây.</t>
  </si>
  <si>
    <t xml:space="preserve">T12</t>
  </si>
  <si>
    <t xml:space="preserve">QA</t>
  </si>
  <si>
    <t xml:space="preserve">E2, C2</t>
  </si>
  <si>
    <t xml:space="preserve">VYBE J4</t>
  </si>
  <si>
    <t xml:space="preserve">J8</t>
  </si>
  <si>
    <t xml:space="preserve">§9</t>
  </si>
  <si>
    <t xml:space="preserve">Rà bảo mật, kiểm tải, sao lưu</t>
  </si>
  <si>
    <t xml:space="preserve">Rà phân quyền mọi endpoint, OWASP top 10, quản lý bí mật; kiểm tải; thử sao lưu và khôi phục PostgreSQL.</t>
  </si>
  <si>
    <t xml:space="preserve">Không còn lỗi mức cao; khôi phục DB từ bản sao lưu chạy được.</t>
  </si>
  <si>
    <t xml:space="preserve">J5</t>
  </si>
  <si>
    <t xml:space="preserve">§2 · §11</t>
  </si>
  <si>
    <t xml:space="preserve">Dữ liệu demo và doanh nghiệp thật</t>
  </si>
  <si>
    <t xml:space="preserve">15–20 doanh nghiệp demo gắn nhãn DEMO trên staging; onboarding 50–100 doanh nghiệp thật đã xác minh; ký 2–3 pilot.</t>
  </si>
  <si>
    <t xml:space="preserve">50–100 doanh nghiệp đã xác minh và hoạt động; 2–3 pilot ký; đếm được trên dashboard nội bộ.</t>
  </si>
  <si>
    <t xml:space="preserve">T9–12</t>
  </si>
  <si>
    <t xml:space="preserve">PO</t>
  </si>
  <si>
    <t xml:space="preserve">I2, J6</t>
  </si>
  <si>
    <t xml:space="preserve">VYBE J5</t>
  </si>
  <si>
    <t xml:space="preserve">X1</t>
  </si>
  <si>
    <t xml:space="preserve">§7</t>
  </si>
  <si>
    <t xml:space="preserve">Ghép đối tác bằng AI ngôn ngữ tự nhiên</t>
  </si>
  <si>
    <t xml:space="preserve">Không làm; dùng ghép theo luật ở K1–K2.</t>
  </si>
  <si>
    <t xml:space="preserve">VYBE X4</t>
  </si>
  <si>
    <t xml:space="preserve">X2</t>
  </si>
  <si>
    <t xml:space="preserve">Thanh toán, escrow, tài trợ thương mại, thu phí, gói Member</t>
  </si>
  <si>
    <t xml:space="preserve">Không làm; truy cập miễn phí trong pilot.</t>
  </si>
  <si>
    <t xml:space="preserve">VYBE X1, X8</t>
  </si>
  <si>
    <t xml:space="preserve">X3</t>
  </si>
  <si>
    <t xml:space="preserve">Logistics, danh bạ Provider</t>
  </si>
  <si>
    <t xml:space="preserve">Không làm.</t>
  </si>
  <si>
    <t xml:space="preserve">VYBE X2, X8</t>
  </si>
  <si>
    <t xml:space="preserve">X4</t>
  </si>
  <si>
    <t xml:space="preserve">Công cụ ESG / CSRD / EUDR</t>
  </si>
  <si>
    <t xml:space="preserve">Không làm công cụ; chỉ nhận hồ sơ EUDR như một loại bằng chứng (C6).</t>
  </si>
  <si>
    <t xml:space="preserve">VYBE X7</t>
  </si>
  <si>
    <t xml:space="preserve">X5</t>
  </si>
  <si>
    <t xml:space="preserve">Cấp C/O chính thức</t>
  </si>
  <si>
    <t xml:space="preserve">Không làm; chỉ bản nháp (C5).</t>
  </si>
  <si>
    <t xml:space="preserve">VYBE X9</t>
  </si>
  <si>
    <t xml:space="preserve">X6</t>
  </si>
  <si>
    <t xml:space="preserve">Ngôn ngữ thứ ba (Đức, Pháp, Séc, Hà Lan)</t>
  </si>
  <si>
    <t xml:space="preserve">VYBE X5</t>
  </si>
  <si>
    <t xml:space="preserve">X7</t>
  </si>
  <si>
    <t xml:space="preserve">App native</t>
  </si>
  <si>
    <t xml:space="preserve">Không làm; web responsive.</t>
  </si>
  <si>
    <t xml:space="preserve">VYBE X6</t>
  </si>
  <si>
    <t xml:space="preserve">X8</t>
  </si>
  <si>
    <t xml:space="preserve">AI đọc giấy tờ (AI Trust Co-pilot)</t>
  </si>
  <si>
    <t xml:space="preserve">Không chuyển sang evfta.eu trong MVP; cân nhắc sau tuần 12 nếu còn công, vì giúp duyệt nhanh hơn.</t>
  </si>
  <si>
    <t xml:space="preserve">VYBE X3</t>
  </si>
  <si>
    <t xml:space="preserve">Thực thể spec</t>
  </si>
  <si>
    <t xml:space="preserve">Bảng PostgreSQL</t>
  </si>
  <si>
    <t xml:space="preserve">Cột chính</t>
  </si>
  <si>
    <t xml:space="preserve">Ghi chú kỹ thuật</t>
  </si>
  <si>
    <t xml:space="preserve">Backlog</t>
  </si>
  <si>
    <t xml:space="preserve">Nguồn chuyển từ VYBE (J6)</t>
  </si>
  <si>
    <t xml:space="preserve">§4.1 User</t>
  </si>
  <si>
    <t xml:space="preserve">users</t>
  </si>
  <si>
    <t xml:space="preserve">id, email, phone, password_hash, role, preferred_language, consent_accepted_at, consent_version, created_at, last_login_at</t>
  </si>
  <si>
    <t xml:space="preserve">Argon2; email unique; role enum exporter/buyer/admin</t>
  </si>
  <si>
    <t xml:space="preserve">A1, J2</t>
  </si>
  <si>
    <t xml:space="preserve">ApplicationUser (XAF Security)</t>
  </si>
  <si>
    <t xml:space="preserve">§4.2 Company</t>
  </si>
  <si>
    <t xml:space="preserve">companies</t>
  </si>
  <si>
    <t xml:space="preserve">id, owner_user_id, type, legal_name, country, registration_number, tax_id, industry_sector, verification_status, verification_level, verified_at, expires_at, profile_completeness_score, description_vi, description_en, website, logo_url</t>
  </si>
  <si>
    <t xml:space="preserve">Một bảng cho cả exporter và buyer, cột type; N-N export_markets, languages_spoken, sourcing_categories</t>
  </si>
  <si>
    <t xml:space="preserve">B1, B2, B3, I7</t>
  </si>
  <si>
    <t xml:space="preserve">Company và Buyer; L0–L3 ánh xạ sang trạng thái + mức</t>
  </si>
  <si>
    <t xml:space="preserve">§4.3 Product</t>
  </si>
  <si>
    <t xml:space="preserve">products</t>
  </si>
  <si>
    <t xml:space="preserve">id, company_id, hs_code, name, description_vi, description_en, price_min, price_max, currency, unit, moq, moq_unit, images, is_active, approval_status</t>
  </si>
  <si>
    <t xml:space="preserve">Giá numeric; hs_code bắt buộc</t>
  </si>
  <si>
    <t xml:space="preserve">Product</t>
  </si>
  <si>
    <t xml:space="preserve">§4.4 ComplianceCheck</t>
  </si>
  <si>
    <t xml:space="preserve">compliance_checks</t>
  </si>
  <si>
    <t xml:space="preserve">id, company_id (nullable), hs_code, product_value, origin_country, destination_country, mfn_duty_rate, evfta_duty_rate, savings_amount, regional_value_content_pct, originating_status, tariff_line_id, rule_id, created_at</t>
  </si>
  <si>
    <t xml:space="preserve">Append-only; ghi cả khách; tài sản dữ liệu</t>
  </si>
  <si>
    <t xml:space="preserve">— (chưa có)</t>
  </si>
  <si>
    <t xml:space="preserve">§4.5 Document</t>
  </si>
  <si>
    <t xml:space="preserve">documents</t>
  </si>
  <si>
    <t xml:space="preserve">id, company_id, document_type, compliance_check_id, file_url, status, created_at</t>
  </si>
  <si>
    <t xml:space="preserve">File trên S3; chỉ sinh EUR.1 khi RoO = pass</t>
  </si>
  <si>
    <t xml:space="preserve">§4.6 VerificationRequest</t>
  </si>
  <si>
    <t xml:space="preserve">verification_requests, verification_decisions, evidences</t>
  </si>
  <si>
    <t xml:space="preserve">request: company_id, submitted_evidence_ids, status, submitted_at · decision: reviewer_id, decision, reason, decided_at · evidence: type, file, issued_at, expires_at, approval_status</t>
  </si>
  <si>
    <t xml:space="preserve">Lý do bắt buộc khi từ chối/yêu cầu bổ sung; bằng chứng xuất xứ hạn 12 tháng</t>
  </si>
  <si>
    <t xml:space="preserve">C6, I1, I2</t>
  </si>
  <si>
    <t xml:space="preserve">Evidence + AiVerificationResult</t>
  </si>
  <si>
    <t xml:space="preserve">§4.7 Conversation / Message</t>
  </si>
  <si>
    <t xml:space="preserve">rfqs, conversations, messages</t>
  </si>
  <si>
    <t xml:space="preserve">rfq: product_id, quantity, unit, target_price, currency, incoterms, destination, required_date, status · message: conversation_id, sender_company_id, body_original, body_translated, original_language, translated_language, sent_at, read_at</t>
  </si>
  <si>
    <t xml:space="preserve">Mỗi RFQ mở một hội thoại</t>
  </si>
  <si>
    <t xml:space="preserve">F1, F2, F3</t>
  </si>
  <si>
    <t xml:space="preserve">ContactRequest (chỉ RFQ)</t>
  </si>
  <si>
    <t xml:space="preserve">§4.8 SavedSearch</t>
  </si>
  <si>
    <t xml:space="preserve">saved_searches</t>
  </si>
  <si>
    <t xml:space="preserve">id, company_id, criteria (jsonb), created_at, last_notified_at</t>
  </si>
  <si>
    <t xml:space="preserve">jsonb chỉ cho tiêu chí</t>
  </si>
  <si>
    <t xml:space="preserve">K1, K2</t>
  </si>
  <si>
    <t xml:space="preserve">§4.9 Notification</t>
  </si>
  <si>
    <t xml:space="preserve">notifications</t>
  </si>
  <si>
    <t xml:space="preserve">id, user_id, type, payload (jsonb), link, is_read, created_at</t>
  </si>
  <si>
    <t xml:space="preserve">Loại: new_match, message, verification_status, expiry_alert, compliance_update</t>
  </si>
  <si>
    <t xml:space="preserve">H1, H2</t>
  </si>
  <si>
    <t xml:space="preserve">§4.10 AIQuery</t>
  </si>
  <si>
    <t xml:space="preserve">ai_queries</t>
  </si>
  <si>
    <t xml:space="preserve">id, user_id (nullable), question_text, answer_text, cited_sources, chunk_ids, confidence, model_version, was_helpful, escalated_to_human, created_at</t>
  </si>
  <si>
    <t xml:space="preserve">Append-only; ghi 100% câu hỏi</t>
  </si>
  <si>
    <t xml:space="preserve">D2, D3</t>
  </si>
  <si>
    <t xml:space="preserve">— (AiVerificationResult là mục đích khác)</t>
  </si>
  <si>
    <t xml:space="preserve">§4.11 AuditLog</t>
  </si>
  <si>
    <t xml:space="preserve">audit_logs</t>
  </si>
  <si>
    <t xml:space="preserve">id, actor_id, action_type, entity_type, entity_id, before_state, after_state, created_at</t>
  </si>
  <si>
    <t xml:space="preserve">Append-only; không xóa khi xóa tài khoản (GDPR ẩn danh hóa)</t>
  </si>
  <si>
    <t xml:space="preserve">XPO AuditTrail</t>
  </si>
  <si>
    <t xml:space="preserve">Mới, ngoài spec</t>
  </si>
  <si>
    <t xml:space="preserve">hs_codes, tariff_lines, product_specific_rules</t>
  </si>
  <si>
    <t xml:space="preserve">hs_codes: code, name_vi, name_en, chapter, is_calculator_supported · tariff_lines / rules: dữ liệu + source + reviewed_by + reviewed_at + valid_from/until</t>
  </si>
  <si>
    <t xml:space="preserve">Dữ liệu tuân thủ, không viết cứng trong code; dòng chưa duyệt không hiện</t>
  </si>
  <si>
    <t xml:space="preserve">B4, C1, C4</t>
  </si>
  <si>
    <t xml:space="preserve">MasterTag, MarketProfile (tham khảo)</t>
  </si>
  <si>
    <t xml:space="preserve">corpus_documents, corpus_chunks</t>
  </si>
  <si>
    <t xml:space="preserve">document: title, source, article, valid_from · chunk: text, embedding vector (pgvector), hs_codes</t>
  </si>
  <si>
    <t xml:space="preserve">Nạp lại kho không cần deploy</t>
  </si>
  <si>
    <t xml:space="preserve">D0, D1</t>
  </si>
  <si>
    <t xml:space="preserve">profile_views, dashboard_events</t>
  </si>
  <si>
    <t xml:space="preserve">company_id, viewer_company_id, viewed_at · user_id, opened_at, had_new_info</t>
  </si>
  <si>
    <t xml:space="preserve">Phục vụ G1 và chỉ số 90% của G3</t>
  </si>
  <si>
    <t xml:space="preserve">G1, G3</t>
  </si>
  <si>
    <t xml:space="preserve">Thời gian</t>
  </si>
  <si>
    <t xml:space="preserve">Mốc</t>
  </si>
  <si>
    <t xml:space="preserve">BE Python (2)</t>
  </si>
  <si>
    <t xml:space="preserve">FE Next.js (2)</t>
  </si>
  <si>
    <t xml:space="preserve">AI (50% từ T5)</t>
  </si>
  <si>
    <t xml:space="preserve">QA (từ T3)</t>
  </si>
  <si>
    <t xml:space="preserve">VYBE (Duy Tân)</t>
  </si>
  <si>
    <t xml:space="preserve">29/9–5/10</t>
  </si>
  <si>
    <t xml:space="preserve">Chốt người luồng B và luật TM</t>
  </si>
  <si>
    <t xml:space="preserve">J7, A1, I6</t>
  </si>
  <si>
    <t xml:space="preserve">A0, A3</t>
  </si>
  <si>
    <t xml:space="preserve">C0, bắt đầu D0</t>
  </si>
  <si>
    <t xml:space="preserve">Chốt quyết định tuần 1</t>
  </si>
  <si>
    <t xml:space="preserve">A1, I2, I3 sửa gấp</t>
  </si>
  <si>
    <t xml:space="preserve">6/10–12/10</t>
  </si>
  <si>
    <t xml:space="preserve">CI/CD + staging chạy; đăng ký → hồ sơ nháp</t>
  </si>
  <si>
    <t xml:space="preserve">A1, B1, B2, B3, B4, B5, C1 (bảng)</t>
  </si>
  <si>
    <t xml:space="preserve">A2, B1–B5 (giao diện), A3</t>
  </si>
  <si>
    <t xml:space="preserve">Duyệt 20 mã HS; nhập dòng thuế C1; D0</t>
  </si>
  <si>
    <t xml:space="preserve">J5 dữ liệu demo</t>
  </si>
  <si>
    <t xml:space="preserve">Launch VYBE v1: 10/10</t>
  </si>
  <si>
    <t xml:space="preserve">13/10–19/10</t>
  </si>
  <si>
    <t xml:space="preserve">20 dòng thuế đã duyệt</t>
  </si>
  <si>
    <t xml:space="preserve">C3, J1, C2 (API)</t>
  </si>
  <si>
    <t xml:space="preserve">C2 (giao diện)</t>
  </si>
  <si>
    <t xml:space="preserve">Test chuẩn C2</t>
  </si>
  <si>
    <t xml:space="preserve">Duyệt C1; D0</t>
  </si>
  <si>
    <t xml:space="preserve">Chuẩn bị SIAL</t>
  </si>
  <si>
    <t xml:space="preserve">Đóng băng 15/10</t>
  </si>
  <si>
    <t xml:space="preserve">T4</t>
  </si>
  <si>
    <t xml:space="preserve">20/10–26/10</t>
  </si>
  <si>
    <t xml:space="preserve">Máy tính thuế chạy trên staging</t>
  </si>
  <si>
    <t xml:space="preserve">C2, C4 (bảng quy tắc)</t>
  </si>
  <si>
    <t xml:space="preserve">C2, C4 (giao diện)</t>
  </si>
  <si>
    <t xml:space="preserve">Test C2, C4</t>
  </si>
  <si>
    <t xml:space="preserve">Soạn 10 ca kiểm C4; D0</t>
  </si>
  <si>
    <t xml:space="preserve">Thu phản hồi SIAL</t>
  </si>
  <si>
    <t xml:space="preserve">SIAL 17–21/10; đóng băng tính năng 22/10</t>
  </si>
  <si>
    <t xml:space="preserve">27/10–2/11</t>
  </si>
  <si>
    <t xml:space="preserve">Quy tắc xuất xứ 20 mã</t>
  </si>
  <si>
    <t xml:space="preserve">C4, I7, I1, C6</t>
  </si>
  <si>
    <t xml:space="preserve">I1, C6</t>
  </si>
  <si>
    <t xml:space="preserve">Nhận bàn giao D0</t>
  </si>
  <si>
    <t xml:space="preserve">Test C4 (10 ca)</t>
  </si>
  <si>
    <t xml:space="preserve">Duyệt C4; D0</t>
  </si>
  <si>
    <t xml:space="preserve">Chỉ sửa lỗi</t>
  </si>
  <si>
    <t xml:space="preserve">3/11–9/11</t>
  </si>
  <si>
    <t xml:space="preserve">Đủ 50 mã; duyệt hồ sơ dưới 5 phút</t>
  </si>
  <si>
    <t xml:space="preserve">C5, I2, H2, I4, I5</t>
  </si>
  <si>
    <t xml:space="preserve">I2, I4, I5</t>
  </si>
  <si>
    <t xml:space="preserve">D1 cắt đoạn + nhúng</t>
  </si>
  <si>
    <t xml:space="preserve">Test C5, I2</t>
  </si>
  <si>
    <t xml:space="preserve">Duyệt 50 mã; soạn 50 câu</t>
  </si>
  <si>
    <t xml:space="preserve">10/11–16/11</t>
  </si>
  <si>
    <t xml:space="preserve">Pipeline truy xuất chạy</t>
  </si>
  <si>
    <t xml:space="preserve">Hỗ trợ API D2</t>
  </si>
  <si>
    <t xml:space="preserve">D2 (giao diện /copilot)</t>
  </si>
  <si>
    <t xml:space="preserve">D1, D4, D2</t>
  </si>
  <si>
    <t xml:space="preserve">Chạy bộ 50 câu lần 1</t>
  </si>
  <si>
    <t xml:space="preserve">Chấm bộ 50 câu</t>
  </si>
  <si>
    <t xml:space="preserve">17/11–23/11</t>
  </si>
  <si>
    <t xml:space="preserve">Bộ 50 câu đạt ngưỡng luật TM ký</t>
  </si>
  <si>
    <t xml:space="preserve">D3, I5 (chỉ số AI)</t>
  </si>
  <si>
    <t xml:space="preserve">D3 (màn hình admin)</t>
  </si>
  <si>
    <t xml:space="preserve">D2 sửa theo kết quả</t>
  </si>
  <si>
    <t xml:space="preserve">Chạy lại bộ 50 câu</t>
  </si>
  <si>
    <t xml:space="preserve">Ký ngưỡng</t>
  </si>
  <si>
    <t xml:space="preserve">24/11–30/11</t>
  </si>
  <si>
    <t xml:space="preserve">Danh bạ công khai + RFQ</t>
  </si>
  <si>
    <t xml:space="preserve">E1, E2, F1, H1</t>
  </si>
  <si>
    <t xml:space="preserve">E2, E3, E4, F1, H1</t>
  </si>
  <si>
    <t xml:space="preserve">Theo dõi câu tin cậy thấp</t>
  </si>
  <si>
    <t xml:space="preserve">Test E, F1</t>
  </si>
  <si>
    <t xml:space="preserve">Soát mẫu AI tuần</t>
  </si>
  <si>
    <t xml:space="preserve">Onboarding doanh nghiệp thật</t>
  </si>
  <si>
    <t xml:space="preserve">1/12–7/12</t>
  </si>
  <si>
    <t xml:space="preserve">Vòng RFQ Việt–Anh hoàn tất; chạy thử chuyển dữ liệu</t>
  </si>
  <si>
    <t xml:space="preserve">F2, F3, K1, K2, J2, H2 (phần còn lại), J6 (chạy thử)</t>
  </si>
  <si>
    <t xml:space="preserve">F2, K1</t>
  </si>
  <si>
    <t xml:space="preserve">Test F2, F3, K</t>
  </si>
  <si>
    <t xml:space="preserve">Onboarding</t>
  </si>
  <si>
    <t xml:space="preserve">Cung cấp dump dữ liệu</t>
  </si>
  <si>
    <t xml:space="preserve">8/12–14/12</t>
  </si>
  <si>
    <t xml:space="preserve">Dashboard hai vai trò</t>
  </si>
  <si>
    <t xml:space="preserve">G1, G2, G3</t>
  </si>
  <si>
    <t xml:space="preserve">G1, G2, J3, A3 (rà chuỗi)</t>
  </si>
  <si>
    <t xml:space="preserve">J3 trên 390px</t>
  </si>
  <si>
    <t xml:space="preserve">Ký pilot</t>
  </si>
  <si>
    <t xml:space="preserve">15/12–21/12</t>
  </si>
  <si>
    <t xml:space="preserve">MVP hoàn tất theo spec §11</t>
  </si>
  <si>
    <t xml:space="preserve">J6 (chạy thật), J8, sửa lỗi</t>
  </si>
  <si>
    <t xml:space="preserve">Sửa lỗi</t>
  </si>
  <si>
    <t xml:space="preserve">J4, J8</t>
  </si>
  <si>
    <t xml:space="preserve">50–100 doanh nghiệp, 2–3 pilot</t>
  </si>
  <si>
    <t xml:space="preserve">Tắt VYBE hoặc chuyển hướng</t>
  </si>
</sst>
</file>

<file path=xl/styles.xml><?xml version="1.0" encoding="utf-8"?>
<styleSheet xmlns="http://schemas.openxmlformats.org/spreadsheetml/2006/main">
  <numFmts count="4">
    <numFmt numFmtId="164" formatCode="General"/>
    <numFmt numFmtId="165" formatCode="0.0"/>
    <numFmt numFmtId="166" formatCode="0%"/>
    <numFmt numFmtId="167" formatCode="0.0;[RED]\-0.0;\-"/>
  </numFmts>
  <fonts count="10">
    <font>
      <sz val="11"/>
      <color theme="1"/>
      <name val="Calibri"/>
      <family val="2"/>
      <charset val="1"/>
    </font>
    <font>
      <sz val="10"/>
      <name val="Arial"/>
      <family val="0"/>
    </font>
    <font>
      <sz val="10"/>
      <name val="Arial"/>
      <family val="0"/>
    </font>
    <font>
      <sz val="10"/>
      <name val="Arial"/>
      <family val="0"/>
    </font>
    <font>
      <b val="true"/>
      <sz val="12"/>
      <color rgb="FF1F4E5F"/>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color rgb="FF555555"/>
      <name val="Arial"/>
      <family val="0"/>
      <charset val="1"/>
    </font>
  </fonts>
  <fills count="4">
    <fill>
      <patternFill patternType="none"/>
    </fill>
    <fill>
      <patternFill patternType="gray125"/>
    </fill>
    <fill>
      <patternFill patternType="solid">
        <fgColor rgb="FFE8EEF1"/>
        <bgColor rgb="FFE2F0D9"/>
      </patternFill>
    </fill>
    <fill>
      <patternFill patternType="solid">
        <fgColor rgb="FF1F4E5F"/>
        <bgColor rgb="FF333333"/>
      </patternFill>
    </fill>
  </fills>
  <borders count="2">
    <border diagonalUp="false" diagonalDown="false">
      <left/>
      <right/>
      <top/>
      <bottom/>
      <diagonal/>
    </border>
    <border diagonalUp="false" diagonalDown="false">
      <left style="thin">
        <color rgb="FFD0D7DC"/>
      </left>
      <right style="thin">
        <color rgb="FFD0D7DC"/>
      </right>
      <top style="thin">
        <color rgb="FFD0D7DC"/>
      </top>
      <bottom style="thin">
        <color rgb="FFD0D7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bgColor rgb="FFE2F0D9"/>
        </patternFill>
      </fill>
    </dxf>
    <dxf>
      <fill>
        <patternFill>
          <bgColor rgb="FFF8D7DA"/>
        </patternFill>
      </fill>
    </dxf>
    <dxf>
      <fill>
        <patternFill>
          <bgColor rgb="FFFFF3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EF1"/>
      <rgbColor rgb="FF660066"/>
      <rgbColor rgb="FFFF8080"/>
      <rgbColor rgb="FF0066CC"/>
      <rgbColor rgb="FFD0D7DC"/>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8D7DA"/>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5" hidden="false" customHeight="false" outlineLevel="0" collapsed="false">
      <c r="A1" s="1" t="s">
        <v>0</v>
      </c>
    </row>
    <row r="2" customFormat="false" ht="15" hidden="false" customHeight="false" outlineLevel="0" collapsed="false">
      <c r="A2" s="2" t="s">
        <v>1</v>
      </c>
      <c r="B2" s="3" t="s">
        <v>2</v>
      </c>
    </row>
    <row r="3" customFormat="false" ht="23.85" hidden="false" customHeight="false" outlineLevel="0" collapsed="false">
      <c r="A3" s="2" t="s">
        <v>3</v>
      </c>
      <c r="B3" s="3" t="s">
        <v>4</v>
      </c>
    </row>
    <row r="4" customFormat="false" ht="23.85" hidden="false" customHeight="false" outlineLevel="0" collapsed="false">
      <c r="A4" s="2" t="s">
        <v>5</v>
      </c>
      <c r="B4" s="3" t="s">
        <v>6</v>
      </c>
    </row>
    <row r="5" customFormat="false" ht="23.85" hidden="false" customHeight="false" outlineLevel="0" collapsed="false">
      <c r="A5" s="2" t="s">
        <v>7</v>
      </c>
      <c r="B5" s="3" t="s">
        <v>8</v>
      </c>
    </row>
    <row r="6" customFormat="false" ht="23.85" hidden="false" customHeight="false" outlineLevel="0" collapsed="false">
      <c r="A6" s="2" t="s">
        <v>9</v>
      </c>
      <c r="B6" s="3" t="s">
        <v>10</v>
      </c>
    </row>
    <row r="7" customFormat="false" ht="15" hidden="false" customHeight="false" outlineLevel="0" collapsed="false">
      <c r="A7" s="2" t="s">
        <v>11</v>
      </c>
      <c r="B7" s="3" t="s">
        <v>12</v>
      </c>
    </row>
    <row r="8" customFormat="false" ht="23.85" hidden="false" customHeight="false" outlineLevel="0" collapsed="false">
      <c r="A8" s="2" t="s">
        <v>13</v>
      </c>
      <c r="B8" s="3" t="s">
        <v>14</v>
      </c>
    </row>
    <row r="9" customFormat="false" ht="23.85" hidden="false" customHeight="false" outlineLevel="0" collapsed="false">
      <c r="A9" s="2" t="s">
        <v>15</v>
      </c>
      <c r="B9" s="3" t="s">
        <v>16</v>
      </c>
    </row>
    <row r="10" customFormat="false" ht="15" hidden="false" customHeight="false" outlineLevel="0" collapsed="false">
      <c r="A10" s="2" t="s">
        <v>17</v>
      </c>
      <c r="B10" s="3" t="s">
        <v>18</v>
      </c>
    </row>
    <row r="11" customFormat="false" ht="23.85" hidden="false" customHeight="false" outlineLevel="0" collapsed="false">
      <c r="A11" s="2" t="s">
        <v>19</v>
      </c>
      <c r="B11" s="3" t="s">
        <v>20</v>
      </c>
    </row>
    <row r="12" customFormat="false" ht="15" hidden="false" customHeight="false" outlineLevel="0" collapsed="false">
      <c r="A12" s="2" t="s">
        <v>21</v>
      </c>
      <c r="B12" s="3" t="s">
        <v>22</v>
      </c>
    </row>
    <row r="13" customFormat="false" ht="15" hidden="false" customHeight="false" outlineLevel="0" collapsed="false">
      <c r="A13" s="2" t="s">
        <v>23</v>
      </c>
      <c r="B13" s="3" t="s">
        <v>24</v>
      </c>
    </row>
    <row r="14" customFormat="false" ht="15" hidden="false" customHeight="false" outlineLevel="0" collapsed="false">
      <c r="A14" s="2" t="s">
        <v>25</v>
      </c>
      <c r="B14"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4" min="3" style="0" width="16"/>
    <col collapsed="false" customWidth="true" hidden="false" outlineLevel="0" max="5" min="5" style="0" width="18"/>
    <col collapsed="false" customWidth="true" hidden="false" outlineLevel="0" max="6" min="6" style="0" width="16"/>
    <col collapsed="false" customWidth="true" hidden="false" outlineLevel="0" max="7" min="7" style="0" width="20"/>
    <col collapsed="false" customWidth="true" hidden="false" outlineLevel="0" max="8" min="8" style="0" width="18"/>
  </cols>
  <sheetData>
    <row r="1" customFormat="false" ht="15" hidden="false" customHeight="false" outlineLevel="0" collapsed="false">
      <c r="A1" s="1" t="s">
        <v>27</v>
      </c>
      <c r="B1" s="4"/>
      <c r="C1" s="4"/>
      <c r="D1" s="4"/>
      <c r="E1" s="4"/>
      <c r="F1" s="4"/>
      <c r="G1" s="4"/>
      <c r="H1" s="4"/>
    </row>
    <row r="2" customFormat="false" ht="15" hidden="false" customHeight="false" outlineLevel="0" collapsed="false">
      <c r="A2" s="5" t="s">
        <v>28</v>
      </c>
      <c r="B2" s="5" t="s">
        <v>29</v>
      </c>
      <c r="C2" s="5" t="s">
        <v>30</v>
      </c>
      <c r="D2" s="4"/>
      <c r="E2" s="4"/>
      <c r="F2" s="4"/>
      <c r="G2" s="4"/>
      <c r="H2" s="4"/>
    </row>
    <row r="3" customFormat="false" ht="15" hidden="false" customHeight="false" outlineLevel="0" collapsed="false">
      <c r="A3" s="6" t="s">
        <v>31</v>
      </c>
      <c r="B3" s="7" t="n">
        <v>4</v>
      </c>
      <c r="C3" s="4" t="s">
        <v>32</v>
      </c>
      <c r="D3" s="4"/>
      <c r="E3" s="4"/>
      <c r="F3" s="4"/>
      <c r="G3" s="4"/>
      <c r="H3" s="4"/>
    </row>
    <row r="4" customFormat="false" ht="15" hidden="false" customHeight="false" outlineLevel="0" collapsed="false">
      <c r="A4" s="6" t="s">
        <v>33</v>
      </c>
      <c r="B4" s="7" t="n">
        <v>10</v>
      </c>
      <c r="C4" s="4" t="s">
        <v>34</v>
      </c>
      <c r="D4" s="4"/>
      <c r="E4" s="4"/>
      <c r="F4" s="4"/>
      <c r="G4" s="4"/>
      <c r="H4" s="4"/>
    </row>
    <row r="5" customFormat="false" ht="15" hidden="false" customHeight="false" outlineLevel="0" collapsed="false">
      <c r="A5" s="6" t="s">
        <v>35</v>
      </c>
      <c r="B5" s="8" t="n">
        <v>0.7</v>
      </c>
      <c r="C5" s="4" t="s">
        <v>36</v>
      </c>
      <c r="D5" s="4"/>
      <c r="E5" s="4"/>
      <c r="F5" s="4"/>
      <c r="G5" s="4"/>
      <c r="H5" s="4"/>
    </row>
    <row r="6" customFormat="false" ht="15" hidden="false" customHeight="false" outlineLevel="0" collapsed="false">
      <c r="A6" s="6" t="s">
        <v>37</v>
      </c>
      <c r="B6" s="9" t="n">
        <v>0.3</v>
      </c>
      <c r="C6" s="4" t="s">
        <v>38</v>
      </c>
      <c r="D6" s="4"/>
      <c r="E6" s="4"/>
      <c r="F6" s="4"/>
      <c r="G6" s="4"/>
      <c r="H6" s="4"/>
    </row>
    <row r="7" customFormat="false" ht="15" hidden="false" customHeight="false" outlineLevel="0" collapsed="false">
      <c r="A7" s="6" t="s">
        <v>39</v>
      </c>
      <c r="B7" s="9" t="n">
        <v>0.2</v>
      </c>
      <c r="C7" s="4" t="s">
        <v>40</v>
      </c>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4"/>
      <c r="B9" s="4"/>
      <c r="C9" s="4"/>
      <c r="D9" s="4"/>
      <c r="E9" s="4"/>
      <c r="F9" s="4"/>
      <c r="G9" s="4"/>
      <c r="H9" s="4"/>
    </row>
    <row r="10" customFormat="false" ht="15" hidden="false" customHeight="false" outlineLevel="0" collapsed="false">
      <c r="A10" s="1" t="s">
        <v>41</v>
      </c>
      <c r="B10" s="4"/>
      <c r="C10" s="4"/>
      <c r="D10" s="4"/>
      <c r="E10" s="4"/>
      <c r="F10" s="4"/>
      <c r="G10" s="4"/>
      <c r="H10" s="4"/>
    </row>
    <row r="11" customFormat="false" ht="23.85" hidden="false" customHeight="false" outlineLevel="0" collapsed="false">
      <c r="A11" s="5" t="s">
        <v>9</v>
      </c>
      <c r="B11" s="5" t="s">
        <v>42</v>
      </c>
      <c r="C11" s="5" t="s">
        <v>43</v>
      </c>
      <c r="D11" s="5" t="s">
        <v>44</v>
      </c>
      <c r="E11" s="5" t="s">
        <v>45</v>
      </c>
      <c r="F11" s="5" t="s">
        <v>46</v>
      </c>
      <c r="G11" s="5" t="s">
        <v>47</v>
      </c>
      <c r="H11" s="5" t="s">
        <v>48</v>
      </c>
    </row>
    <row r="12" customFormat="false" ht="15" hidden="false" customHeight="false" outlineLevel="0" collapsed="false">
      <c r="A12" s="6" t="s">
        <v>49</v>
      </c>
      <c r="B12" s="4" t="n">
        <f aca="false">COUNTIFS(Backlog!$J$2:$J$58,A12)</f>
        <v>13</v>
      </c>
      <c r="C12" s="10" t="n">
        <f aca="false">SUMIFS(Backlog!$H$2:$H$58,Backlog!$J$2:$J$58,A12)</f>
        <v>24.5</v>
      </c>
      <c r="D12" s="10" t="n">
        <f aca="false">SUMIFS(Backlog!$I$2:$I$58,Backlog!$J$2:$J$58,A12)</f>
        <v>6.5</v>
      </c>
      <c r="E12" s="10" t="n">
        <f aca="false">$B$3*$B$4*$B$5</f>
        <v>28</v>
      </c>
      <c r="F12" s="10" t="n">
        <f aca="false">E12-C12*(1+$B$7)</f>
        <v>-1.4</v>
      </c>
      <c r="G12" s="10" t="n">
        <f aca="false">$B$4*$B$6</f>
        <v>3</v>
      </c>
      <c r="H12" s="10" t="n">
        <f aca="false">G12-D12</f>
        <v>-3.5</v>
      </c>
    </row>
    <row r="13" customFormat="false" ht="15" hidden="false" customHeight="false" outlineLevel="0" collapsed="false">
      <c r="A13" s="6" t="s">
        <v>50</v>
      </c>
      <c r="B13" s="4" t="n">
        <f aca="false">COUNTIFS(Backlog!$J$2:$J$58,A13)</f>
        <v>5</v>
      </c>
      <c r="C13" s="10" t="n">
        <f aca="false">SUMIFS(Backlog!$H$2:$H$58,Backlog!$J$2:$J$58,A13)</f>
        <v>11</v>
      </c>
      <c r="D13" s="10" t="n">
        <f aca="false">SUMIFS(Backlog!$I$2:$I$58,Backlog!$J$2:$J$58,A13)</f>
        <v>5</v>
      </c>
      <c r="E13" s="10" t="n">
        <f aca="false">$B$3*$B$4*$B$5</f>
        <v>28</v>
      </c>
      <c r="F13" s="10" t="n">
        <f aca="false">E13-C13*(1+$B$7)</f>
        <v>14.8</v>
      </c>
      <c r="G13" s="10" t="n">
        <f aca="false">$B$4*$B$6</f>
        <v>3</v>
      </c>
      <c r="H13" s="10" t="n">
        <f aca="false">G13-D13</f>
        <v>-2</v>
      </c>
    </row>
    <row r="14" customFormat="false" ht="15" hidden="false" customHeight="false" outlineLevel="0" collapsed="false">
      <c r="A14" s="6" t="s">
        <v>51</v>
      </c>
      <c r="B14" s="4" t="n">
        <f aca="false">COUNTIFS(Backlog!$J$2:$J$58,A14)</f>
        <v>8</v>
      </c>
      <c r="C14" s="10" t="n">
        <f aca="false">SUMIFS(Backlog!$H$2:$H$58,Backlog!$J$2:$J$58,A14)</f>
        <v>17</v>
      </c>
      <c r="D14" s="10" t="n">
        <f aca="false">SUMIFS(Backlog!$I$2:$I$58,Backlog!$J$2:$J$58,A14)</f>
        <v>1.5</v>
      </c>
      <c r="E14" s="10" t="n">
        <f aca="false">$B$3*$B$4*$B$5</f>
        <v>28</v>
      </c>
      <c r="F14" s="10" t="n">
        <f aca="false">E14-C14*(1+$B$7)</f>
        <v>7.6</v>
      </c>
      <c r="G14" s="10" t="n">
        <f aca="false">$B$4*$B$6</f>
        <v>3</v>
      </c>
      <c r="H14" s="10" t="n">
        <f aca="false">G14-D14</f>
        <v>1.5</v>
      </c>
    </row>
    <row r="15" customFormat="false" ht="15" hidden="false" customHeight="false" outlineLevel="0" collapsed="false">
      <c r="A15" s="6" t="s">
        <v>52</v>
      </c>
      <c r="B15" s="4" t="n">
        <f aca="false">COUNTIFS(Backlog!$J$2:$J$58,A15)</f>
        <v>4</v>
      </c>
      <c r="C15" s="10" t="n">
        <f aca="false">SUMIFS(Backlog!$H$2:$H$58,Backlog!$J$2:$J$58,A15)</f>
        <v>12</v>
      </c>
      <c r="D15" s="10" t="n">
        <f aca="false">SUMIFS(Backlog!$I$2:$I$58,Backlog!$J$2:$J$58,A15)</f>
        <v>3</v>
      </c>
      <c r="E15" s="10" t="n">
        <f aca="false">$B$3*$B$4*$B$5</f>
        <v>28</v>
      </c>
      <c r="F15" s="10" t="n">
        <f aca="false">E15-C15*(1+$B$7)</f>
        <v>13.6</v>
      </c>
      <c r="G15" s="10" t="n">
        <f aca="false">$B$4*$B$6</f>
        <v>3</v>
      </c>
      <c r="H15" s="10" t="n">
        <f aca="false">G15-D15</f>
        <v>0</v>
      </c>
    </row>
    <row r="16" customFormat="false" ht="15" hidden="false" customHeight="false" outlineLevel="0" collapsed="false">
      <c r="A16" s="6" t="s">
        <v>53</v>
      </c>
      <c r="B16" s="4" t="n">
        <f aca="false">COUNTIFS(Backlog!$J$2:$J$58,A16)</f>
        <v>11</v>
      </c>
      <c r="C16" s="10" t="n">
        <f aca="false">SUMIFS(Backlog!$H$2:$H$58,Backlog!$J$2:$J$58,A16)</f>
        <v>19</v>
      </c>
      <c r="D16" s="10" t="n">
        <f aca="false">SUMIFS(Backlog!$I$2:$I$58,Backlog!$J$2:$J$58,A16)</f>
        <v>0</v>
      </c>
      <c r="E16" s="10" t="n">
        <f aca="false">$B$3*$B$4*$B$5</f>
        <v>28</v>
      </c>
      <c r="F16" s="10" t="n">
        <f aca="false">E16-C16*(1+$B$7)</f>
        <v>5.2</v>
      </c>
      <c r="G16" s="10" t="n">
        <f aca="false">$B$4*$B$6</f>
        <v>3</v>
      </c>
      <c r="H16" s="10" t="n">
        <f aca="false">G16-D16</f>
        <v>3</v>
      </c>
    </row>
    <row r="17" customFormat="false" ht="15" hidden="false" customHeight="false" outlineLevel="0" collapsed="false">
      <c r="A17" s="6" t="s">
        <v>54</v>
      </c>
      <c r="B17" s="4" t="n">
        <f aca="false">COUNTIFS(Backlog!$J$2:$J$58,A17)</f>
        <v>8</v>
      </c>
      <c r="C17" s="10" t="n">
        <f aca="false">SUMIFS(Backlog!$H$2:$H$58,Backlog!$J$2:$J$58,A17)</f>
        <v>14</v>
      </c>
      <c r="D17" s="10" t="n">
        <f aca="false">SUMIFS(Backlog!$I$2:$I$58,Backlog!$J$2:$J$58,A17)</f>
        <v>0</v>
      </c>
      <c r="E17" s="10" t="n">
        <f aca="false">$B$3*$B$4*$B$5</f>
        <v>28</v>
      </c>
      <c r="F17" s="10" t="n">
        <f aca="false">E17-C17*(1+$B$7)</f>
        <v>11.2</v>
      </c>
      <c r="G17" s="10" t="n">
        <f aca="false">$B$4*$B$6</f>
        <v>3</v>
      </c>
      <c r="H17" s="10" t="n">
        <f aca="false">G17-D17</f>
        <v>3</v>
      </c>
    </row>
    <row r="18" customFormat="false" ht="15" hidden="false" customHeight="false" outlineLevel="0" collapsed="false">
      <c r="A18" s="6" t="s">
        <v>55</v>
      </c>
      <c r="B18" s="4" t="n">
        <f aca="false">COUNTIFS(Backlog!$J$2:$J$58,A18)</f>
        <v>1</v>
      </c>
      <c r="C18" s="10" t="n">
        <f aca="false">SUMIFS(Backlog!$H$2:$H$58,Backlog!$J$2:$J$58,A18)</f>
        <v>0</v>
      </c>
      <c r="D18" s="10" t="n">
        <f aca="false">SUMIFS(Backlog!$I$2:$I$58,Backlog!$J$2:$J$58,A18)</f>
        <v>0</v>
      </c>
      <c r="E18" s="10"/>
      <c r="F18" s="10"/>
      <c r="G18" s="10"/>
      <c r="H18" s="10"/>
    </row>
    <row r="19" customFormat="false" ht="15" hidden="false" customHeight="false" outlineLevel="0" collapsed="false">
      <c r="A19" s="6" t="s">
        <v>56</v>
      </c>
      <c r="B19" s="4" t="n">
        <f aca="false">COUNTIFS(Backlog!$J$2:$J$58,A19)</f>
        <v>7</v>
      </c>
      <c r="C19" s="10" t="n">
        <f aca="false">SUMIFS(Backlog!$H$2:$H$58,Backlog!$J$2:$J$58,A19)</f>
        <v>0</v>
      </c>
      <c r="D19" s="10" t="n">
        <f aca="false">SUMIFS(Backlog!$I$2:$I$58,Backlog!$J$2:$J$58,A19)</f>
        <v>0</v>
      </c>
      <c r="E19" s="10"/>
      <c r="F19" s="10"/>
      <c r="G19" s="10"/>
      <c r="H19" s="10"/>
    </row>
    <row r="20" customFormat="false" ht="15" hidden="false" customHeight="false" outlineLevel="0" collapsed="false">
      <c r="A20" s="6" t="s">
        <v>57</v>
      </c>
      <c r="B20" s="6" t="n">
        <f aca="false">SUM(B12:B19)</f>
        <v>57</v>
      </c>
      <c r="C20" s="11" t="n">
        <f aca="false">SUM(C12:C19)</f>
        <v>97.5</v>
      </c>
      <c r="D20" s="11" t="n">
        <f aca="false">SUM(D12:D19)</f>
        <v>16</v>
      </c>
      <c r="E20" s="11" t="n">
        <f aca="false">SUM(E12:E19)</f>
        <v>168</v>
      </c>
      <c r="F20" s="11" t="n">
        <f aca="false">SUM(F12:F19)</f>
        <v>51</v>
      </c>
      <c r="G20" s="11" t="n">
        <f aca="false">SUM(G12:G19)</f>
        <v>18</v>
      </c>
      <c r="H20" s="11" t="n">
        <f aca="false">SUM(H12:H19)</f>
        <v>2</v>
      </c>
    </row>
    <row r="21" customFormat="false" ht="15" hidden="false" customHeight="false" outlineLevel="0" collapsed="false">
      <c r="A21" s="12" t="s">
        <v>58</v>
      </c>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1" t="s">
        <v>59</v>
      </c>
      <c r="B23" s="4"/>
      <c r="C23" s="4"/>
      <c r="D23" s="4"/>
      <c r="E23" s="4"/>
      <c r="F23" s="4"/>
      <c r="G23" s="4"/>
      <c r="H23" s="4"/>
    </row>
    <row r="24" customFormat="false" ht="15" hidden="false" customHeight="false" outlineLevel="0" collapsed="false">
      <c r="A24" s="5" t="s">
        <v>28</v>
      </c>
      <c r="B24" s="5" t="s">
        <v>29</v>
      </c>
      <c r="C24" s="5" t="s">
        <v>30</v>
      </c>
      <c r="D24" s="4"/>
      <c r="E24" s="4"/>
      <c r="F24" s="4"/>
      <c r="G24" s="4"/>
      <c r="H24" s="4"/>
    </row>
    <row r="25" customFormat="false" ht="15" hidden="false" customHeight="false" outlineLevel="0" collapsed="false">
      <c r="A25" s="6" t="s">
        <v>60</v>
      </c>
      <c r="B25" s="10" t="n">
        <f aca="false">C20*(1+B7)</f>
        <v>117</v>
      </c>
      <c r="C25" s="4" t="s">
        <v>61</v>
      </c>
      <c r="D25" s="4"/>
      <c r="E25" s="4"/>
      <c r="F25" s="4"/>
      <c r="G25" s="4"/>
      <c r="H25" s="4"/>
    </row>
    <row r="26" customFormat="false" ht="15" hidden="false" customHeight="false" outlineLevel="0" collapsed="false">
      <c r="A26" s="6" t="s">
        <v>62</v>
      </c>
      <c r="B26" s="10" t="n">
        <f aca="false">B3*B4*6*B5</f>
        <v>168</v>
      </c>
      <c r="C26" s="4"/>
      <c r="D26" s="4"/>
      <c r="E26" s="4"/>
      <c r="F26" s="4"/>
      <c r="G26" s="4"/>
      <c r="H26" s="4"/>
    </row>
    <row r="27" customFormat="false" ht="15" hidden="false" customHeight="false" outlineLevel="0" collapsed="false">
      <c r="A27" s="6" t="s">
        <v>63</v>
      </c>
      <c r="B27" s="10" t="n">
        <f aca="false">B26-B25</f>
        <v>51</v>
      </c>
      <c r="C27" s="4"/>
      <c r="D27" s="4"/>
      <c r="E27" s="4"/>
      <c r="F27" s="4"/>
      <c r="G27" s="4"/>
      <c r="H27" s="4"/>
    </row>
    <row r="28" customFormat="false" ht="15" hidden="false" customHeight="false" outlineLevel="0" collapsed="false">
      <c r="A28" s="6" t="s">
        <v>64</v>
      </c>
      <c r="B28" s="10" t="str">
        <f aca="false">IF(B27&lt;0,"Thiếu năng lực: cắt P1 hoặc thêm người","Đủ năng lực")</f>
        <v>Đủ năng lực</v>
      </c>
      <c r="C28" s="4"/>
      <c r="D28" s="4"/>
      <c r="E28" s="4"/>
      <c r="F28" s="4"/>
      <c r="G28" s="4"/>
      <c r="H28" s="4"/>
    </row>
    <row r="29" customFormat="false" ht="15" hidden="false" customHeight="false" outlineLevel="0" collapsed="false">
      <c r="A29" s="6" t="s">
        <v>65</v>
      </c>
      <c r="B29" s="10" t="n">
        <f aca="false">D20</f>
        <v>16</v>
      </c>
      <c r="C29" s="4"/>
      <c r="D29" s="4"/>
      <c r="E29" s="4"/>
      <c r="F29" s="4"/>
      <c r="G29" s="4"/>
      <c r="H29" s="4"/>
    </row>
    <row r="30" customFormat="false" ht="15" hidden="false" customHeight="false" outlineLevel="0" collapsed="false">
      <c r="A30" s="6" t="s">
        <v>66</v>
      </c>
      <c r="B30" s="10" t="n">
        <f aca="false">B4*6*B6</f>
        <v>18</v>
      </c>
      <c r="C30" s="4"/>
      <c r="D30" s="4"/>
      <c r="E30" s="4"/>
      <c r="F30" s="4"/>
      <c r="G30" s="4"/>
      <c r="H30" s="4"/>
    </row>
    <row r="31" customFormat="false" ht="15" hidden="false" customHeight="false" outlineLevel="0" collapsed="false">
      <c r="A31" s="6" t="s">
        <v>67</v>
      </c>
      <c r="B31" s="10" t="str">
        <f aca="false">IF(COUNTIFS(H12:H17,"&lt;0")&gt;0,"Quá tải ở "&amp;COUNTIFS(H12:H17,"&lt;0")&amp;" giai đoạn: tăng % thời gian GĐ1–GĐ2","Đủ năng lực")</f>
        <v>Quá tải ở 2 giai đoạn: tăng % thời gian GĐ1–GĐ2</v>
      </c>
      <c r="C31" s="4" t="s">
        <v>68</v>
      </c>
      <c r="D31" s="4"/>
      <c r="E31" s="4"/>
      <c r="F31" s="4"/>
      <c r="G31" s="4"/>
      <c r="H31" s="4"/>
    </row>
    <row r="32" customFormat="false" ht="15" hidden="false" customHeight="false" outlineLevel="0" collapsed="false">
      <c r="A32" s="4"/>
      <c r="B32" s="4"/>
      <c r="C32" s="4"/>
      <c r="D32" s="4"/>
      <c r="E32" s="4"/>
      <c r="F32" s="4"/>
      <c r="G32" s="4"/>
      <c r="H32" s="4"/>
    </row>
    <row r="33" customFormat="false" ht="15" hidden="false" customHeight="false" outlineLevel="0" collapsed="false">
      <c r="A33" s="1" t="s">
        <v>69</v>
      </c>
      <c r="B33" s="4"/>
      <c r="C33" s="4"/>
      <c r="D33" s="4"/>
      <c r="E33" s="4"/>
      <c r="F33" s="4"/>
      <c r="G33" s="4"/>
      <c r="H33" s="4"/>
    </row>
    <row r="34" customFormat="false" ht="15" hidden="false" customHeight="false" outlineLevel="0" collapsed="false">
      <c r="A34" s="5" t="s">
        <v>70</v>
      </c>
      <c r="B34" s="5" t="s">
        <v>42</v>
      </c>
      <c r="C34" s="5" t="s">
        <v>43</v>
      </c>
      <c r="D34" s="5" t="s">
        <v>44</v>
      </c>
      <c r="E34" s="4"/>
      <c r="F34" s="4"/>
      <c r="G34" s="4"/>
      <c r="H34" s="4"/>
    </row>
    <row r="35" customFormat="false" ht="15" hidden="false" customHeight="false" outlineLevel="0" collapsed="false">
      <c r="A35" s="6" t="s">
        <v>71</v>
      </c>
      <c r="B35" s="4" t="n">
        <f aca="false">COUNTIFS(Backlog!$C$2:$C$58,A35)</f>
        <v>47</v>
      </c>
      <c r="C35" s="4" t="n">
        <f aca="false">SUMIFS(Backlog!$H$2:$H$58,Backlog!$C$2:$C$58,A35)</f>
        <v>95</v>
      </c>
      <c r="D35" s="4" t="n">
        <f aca="false">SUMIFS(Backlog!$I$2:$I$58,Backlog!$C$2:$C$58,A35)</f>
        <v>16</v>
      </c>
      <c r="E35" s="4"/>
      <c r="F35" s="4"/>
      <c r="G35" s="4"/>
      <c r="H35" s="4"/>
    </row>
    <row r="36" customFormat="false" ht="15" hidden="false" customHeight="false" outlineLevel="0" collapsed="false">
      <c r="A36" s="6" t="s">
        <v>72</v>
      </c>
      <c r="B36" s="4" t="n">
        <f aca="false">COUNTIFS(Backlog!$C$2:$C$58,A36)</f>
        <v>2</v>
      </c>
      <c r="C36" s="4" t="n">
        <f aca="false">SUMIFS(Backlog!$H$2:$H$58,Backlog!$C$2:$C$58,A36)</f>
        <v>2.5</v>
      </c>
      <c r="D36" s="4" t="n">
        <f aca="false">SUMIFS(Backlog!$I$2:$I$58,Backlog!$C$2:$C$58,A36)</f>
        <v>0</v>
      </c>
      <c r="E36" s="4"/>
      <c r="F36" s="4"/>
      <c r="G36" s="4"/>
      <c r="H36" s="4"/>
    </row>
    <row r="37" customFormat="false" ht="15" hidden="false" customHeight="false" outlineLevel="0" collapsed="false">
      <c r="A37" s="6" t="s">
        <v>73</v>
      </c>
      <c r="B37" s="4" t="n">
        <f aca="false">COUNTIFS(Backlog!$C$2:$C$58,A37)</f>
        <v>7</v>
      </c>
      <c r="C37" s="4" t="n">
        <f aca="false">SUMIFS(Backlog!$H$2:$H$58,Backlog!$C$2:$C$58,A37)</f>
        <v>0</v>
      </c>
      <c r="D37" s="4" t="n">
        <f aca="false">SUMIFS(Backlog!$I$2:$I$58,Backlog!$C$2:$C$58,A37)</f>
        <v>0</v>
      </c>
      <c r="E37" s="4"/>
      <c r="F37" s="4"/>
      <c r="G37" s="4"/>
      <c r="H37" s="4"/>
    </row>
    <row r="38" customFormat="false" ht="15" hidden="false" customHeight="false" outlineLevel="0" collapsed="false">
      <c r="A38" s="6" t="s">
        <v>74</v>
      </c>
      <c r="B38" s="4" t="n">
        <f aca="false">COUNTIFS(Backlog!$C$2:$C$58,A38)</f>
        <v>1</v>
      </c>
      <c r="C38" s="4" t="n">
        <f aca="false">SUMIFS(Backlog!$H$2:$H$58,Backlog!$C$2:$C$58,A38)</f>
        <v>0</v>
      </c>
      <c r="D38" s="4" t="n">
        <f aca="false">SUMIFS(Backlog!$I$2:$I$58,Backlog!$C$2:$C$58,A38)</f>
        <v>0</v>
      </c>
      <c r="E38" s="4"/>
      <c r="F38" s="4"/>
      <c r="G38" s="4"/>
      <c r="H38" s="4"/>
    </row>
    <row r="39" customFormat="false" ht="15" hidden="false" customHeight="false" outlineLevel="0" collapsed="false">
      <c r="A39" s="4"/>
      <c r="B39" s="4"/>
      <c r="C39" s="4"/>
      <c r="D39" s="4"/>
      <c r="E39" s="4"/>
      <c r="F39" s="4"/>
      <c r="G39" s="4"/>
      <c r="H39" s="4"/>
    </row>
    <row r="40" customFormat="false" ht="15" hidden="false" customHeight="false" outlineLevel="0" collapsed="false">
      <c r="A40" s="1" t="s">
        <v>75</v>
      </c>
      <c r="B40" s="4"/>
      <c r="C40" s="4"/>
      <c r="D40" s="4"/>
      <c r="E40" s="4"/>
      <c r="F40" s="4"/>
      <c r="G40" s="4"/>
      <c r="H40" s="4"/>
    </row>
    <row r="41" customFormat="false" ht="15" hidden="false" customHeight="false" outlineLevel="0" collapsed="false">
      <c r="A41" s="5" t="s">
        <v>76</v>
      </c>
      <c r="B41" s="5" t="s">
        <v>42</v>
      </c>
      <c r="C41" s="5" t="s">
        <v>43</v>
      </c>
      <c r="D41" s="5" t="s">
        <v>44</v>
      </c>
      <c r="E41" s="4"/>
      <c r="F41" s="4"/>
      <c r="G41" s="4"/>
      <c r="H41" s="4"/>
    </row>
    <row r="42" customFormat="false" ht="15" hidden="false" customHeight="false" outlineLevel="0" collapsed="false">
      <c r="A42" s="6" t="s">
        <v>77</v>
      </c>
      <c r="B42" s="4" t="n">
        <f aca="false">COUNTIFS(Backlog!$D$2:$D$58,A42)</f>
        <v>2</v>
      </c>
      <c r="C42" s="4" t="n">
        <f aca="false">SUMIFS(Backlog!$H$2:$H$58,Backlog!$D$2:$D$58,A42)</f>
        <v>7</v>
      </c>
      <c r="D42" s="4" t="n">
        <f aca="false">SUMIFS(Backlog!$I$2:$I$58,Backlog!$D$2:$D$58,A42)</f>
        <v>0</v>
      </c>
      <c r="E42" s="4"/>
      <c r="F42" s="4"/>
      <c r="G42" s="4"/>
      <c r="H42" s="4"/>
    </row>
    <row r="43" customFormat="false" ht="15" hidden="false" customHeight="false" outlineLevel="0" collapsed="false">
      <c r="A43" s="6" t="s">
        <v>78</v>
      </c>
      <c r="B43" s="4" t="n">
        <f aca="false">COUNTIFS(Backlog!$D$2:$D$58,A43)</f>
        <v>6</v>
      </c>
      <c r="C43" s="4" t="n">
        <f aca="false">SUMIFS(Backlog!$H$2:$H$58,Backlog!$D$2:$D$58,A43)</f>
        <v>11</v>
      </c>
      <c r="D43" s="4" t="n">
        <f aca="false">SUMIFS(Backlog!$I$2:$I$58,Backlog!$D$2:$D$58,A43)</f>
        <v>0</v>
      </c>
      <c r="E43" s="4"/>
      <c r="F43" s="4"/>
      <c r="G43" s="4"/>
      <c r="H43" s="4"/>
    </row>
    <row r="44" customFormat="false" ht="15" hidden="false" customHeight="false" outlineLevel="0" collapsed="false">
      <c r="A44" s="6" t="s">
        <v>79</v>
      </c>
      <c r="B44" s="4" t="n">
        <f aca="false">COUNTIFS(Backlog!$D$2:$D$58,A44)</f>
        <v>3</v>
      </c>
      <c r="C44" s="4" t="n">
        <f aca="false">SUMIFS(Backlog!$H$2:$H$58,Backlog!$D$2:$D$58,A44)</f>
        <v>7</v>
      </c>
      <c r="D44" s="4" t="n">
        <f aca="false">SUMIFS(Backlog!$I$2:$I$58,Backlog!$D$2:$D$58,A44)</f>
        <v>0</v>
      </c>
      <c r="E44" s="4"/>
      <c r="F44" s="4"/>
      <c r="G44" s="4"/>
      <c r="H44" s="4"/>
    </row>
    <row r="45" customFormat="false" ht="15" hidden="false" customHeight="false" outlineLevel="0" collapsed="false">
      <c r="A45" s="6" t="s">
        <v>80</v>
      </c>
      <c r="B45" s="4" t="n">
        <f aca="false">COUNTIFS(Backlog!$D$2:$D$58,A45)</f>
        <v>5</v>
      </c>
      <c r="C45" s="4" t="n">
        <f aca="false">SUMIFS(Backlog!$H$2:$H$58,Backlog!$D$2:$D$58,A45)</f>
        <v>9</v>
      </c>
      <c r="D45" s="4" t="n">
        <f aca="false">SUMIFS(Backlog!$I$2:$I$58,Backlog!$D$2:$D$58,A45)</f>
        <v>0.5</v>
      </c>
      <c r="E45" s="4"/>
      <c r="F45" s="4"/>
      <c r="G45" s="4"/>
      <c r="H45" s="4"/>
    </row>
    <row r="46" customFormat="false" ht="15" hidden="false" customHeight="false" outlineLevel="0" collapsed="false">
      <c r="A46" s="6" t="s">
        <v>81</v>
      </c>
      <c r="B46" s="4" t="n">
        <f aca="false">COUNTIFS(Backlog!$D$2:$D$58,A46)</f>
        <v>7</v>
      </c>
      <c r="C46" s="4" t="n">
        <f aca="false">SUMIFS(Backlog!$H$2:$H$58,Backlog!$D$2:$D$58,A46)</f>
        <v>15.5</v>
      </c>
      <c r="D46" s="4" t="n">
        <f aca="false">SUMIFS(Backlog!$I$2:$I$58,Backlog!$D$2:$D$58,A46)</f>
        <v>7.5</v>
      </c>
      <c r="E46" s="4"/>
      <c r="F46" s="4"/>
      <c r="G46" s="4"/>
      <c r="H46" s="4"/>
    </row>
    <row r="47" customFormat="false" ht="15" hidden="false" customHeight="false" outlineLevel="0" collapsed="false">
      <c r="A47" s="6" t="s">
        <v>82</v>
      </c>
      <c r="B47" s="4" t="n">
        <f aca="false">COUNTIFS(Backlog!$D$2:$D$58,A47)</f>
        <v>5</v>
      </c>
      <c r="C47" s="4" t="n">
        <f aca="false">SUMIFS(Backlog!$H$2:$H$58,Backlog!$D$2:$D$58,A47)</f>
        <v>12</v>
      </c>
      <c r="D47" s="4" t="n">
        <f aca="false">SUMIFS(Backlog!$I$2:$I$58,Backlog!$D$2:$D$58,A47)</f>
        <v>8</v>
      </c>
      <c r="E47" s="4"/>
      <c r="F47" s="4"/>
      <c r="G47" s="4"/>
      <c r="H47" s="4"/>
    </row>
    <row r="48" customFormat="false" ht="15" hidden="false" customHeight="false" outlineLevel="0" collapsed="false">
      <c r="A48" s="6" t="s">
        <v>83</v>
      </c>
      <c r="B48" s="4" t="n">
        <f aca="false">COUNTIFS(Backlog!$D$2:$D$58,A48)</f>
        <v>5</v>
      </c>
      <c r="C48" s="4" t="n">
        <f aca="false">SUMIFS(Backlog!$H$2:$H$58,Backlog!$D$2:$D$58,A48)</f>
        <v>8</v>
      </c>
      <c r="D48" s="4" t="n">
        <f aca="false">SUMIFS(Backlog!$I$2:$I$58,Backlog!$D$2:$D$58,A48)</f>
        <v>0</v>
      </c>
      <c r="E48" s="4"/>
      <c r="F48" s="4"/>
      <c r="G48" s="4"/>
      <c r="H48" s="4"/>
    </row>
    <row r="49" customFormat="false" ht="15" hidden="false" customHeight="false" outlineLevel="0" collapsed="false">
      <c r="A49" s="6" t="s">
        <v>84</v>
      </c>
      <c r="B49" s="4" t="n">
        <f aca="false">COUNTIFS(Backlog!$D$2:$D$58,A49)</f>
        <v>2</v>
      </c>
      <c r="C49" s="4" t="n">
        <f aca="false">SUMIFS(Backlog!$H$2:$H$58,Backlog!$D$2:$D$58,A49)</f>
        <v>4</v>
      </c>
      <c r="D49" s="4" t="n">
        <f aca="false">SUMIFS(Backlog!$I$2:$I$58,Backlog!$D$2:$D$58,A49)</f>
        <v>0</v>
      </c>
      <c r="E49" s="4"/>
      <c r="F49" s="4"/>
      <c r="G49" s="4"/>
      <c r="H49" s="4"/>
    </row>
    <row r="50" customFormat="false" ht="15" hidden="false" customHeight="false" outlineLevel="0" collapsed="false">
      <c r="A50" s="6" t="s">
        <v>85</v>
      </c>
      <c r="B50" s="4" t="n">
        <f aca="false">COUNTIFS(Backlog!$D$2:$D$58,A50)</f>
        <v>4</v>
      </c>
      <c r="C50" s="4" t="n">
        <f aca="false">SUMIFS(Backlog!$H$2:$H$58,Backlog!$D$2:$D$58,A50)</f>
        <v>5.5</v>
      </c>
      <c r="D50" s="4" t="n">
        <f aca="false">SUMIFS(Backlog!$I$2:$I$58,Backlog!$D$2:$D$58,A50)</f>
        <v>0</v>
      </c>
      <c r="E50" s="4"/>
      <c r="F50" s="4"/>
      <c r="G50" s="4"/>
      <c r="H50" s="4"/>
    </row>
    <row r="51" customFormat="false" ht="15" hidden="false" customHeight="false" outlineLevel="0" collapsed="false">
      <c r="A51" s="6" t="s">
        <v>86</v>
      </c>
      <c r="B51" s="4" t="n">
        <f aca="false">COUNTIFS(Backlog!$D$2:$D$58,A51)</f>
        <v>3</v>
      </c>
      <c r="C51" s="4" t="n">
        <f aca="false">SUMIFS(Backlog!$H$2:$H$58,Backlog!$D$2:$D$58,A51)</f>
        <v>7</v>
      </c>
      <c r="D51" s="4" t="n">
        <f aca="false">SUMIFS(Backlog!$I$2:$I$58,Backlog!$D$2:$D$58,A51)</f>
        <v>0</v>
      </c>
      <c r="E51" s="4"/>
      <c r="F51" s="4"/>
      <c r="G51" s="4"/>
      <c r="H51" s="4"/>
    </row>
    <row r="52" customFormat="false" ht="15" hidden="false" customHeight="false" outlineLevel="0" collapsed="false">
      <c r="A52" s="6" t="s">
        <v>87</v>
      </c>
      <c r="B52" s="4" t="n">
        <f aca="false">COUNTIFS(Backlog!$D$2:$D$58,A52)</f>
        <v>2</v>
      </c>
      <c r="C52" s="4" t="n">
        <f aca="false">SUMIFS(Backlog!$H$2:$H$58,Backlog!$D$2:$D$58,A52)</f>
        <v>2.5</v>
      </c>
      <c r="D52" s="4" t="n">
        <f aca="false">SUMIFS(Backlog!$I$2:$I$58,Backlog!$D$2:$D$58,A52)</f>
        <v>0</v>
      </c>
      <c r="E52" s="4"/>
      <c r="F52" s="4"/>
      <c r="G52" s="4"/>
      <c r="H52" s="4"/>
    </row>
    <row r="53" customFormat="false" ht="15" hidden="false" customHeight="false" outlineLevel="0" collapsed="false">
      <c r="A53" s="6" t="s">
        <v>88</v>
      </c>
      <c r="B53" s="4" t="n">
        <f aca="false">COUNTIFS(Backlog!$D$2:$D$58,A53)</f>
        <v>3</v>
      </c>
      <c r="C53" s="4" t="n">
        <f aca="false">SUMIFS(Backlog!$H$2:$H$58,Backlog!$D$2:$D$58,A53)</f>
        <v>6</v>
      </c>
      <c r="D53" s="4" t="n">
        <f aca="false">SUMIFS(Backlog!$I$2:$I$58,Backlog!$D$2:$D$58,A53)</f>
        <v>0</v>
      </c>
      <c r="E53" s="4"/>
      <c r="F53" s="4"/>
      <c r="G53" s="4"/>
      <c r="H53" s="4"/>
    </row>
    <row r="54" customFormat="false" ht="15" hidden="false" customHeight="false" outlineLevel="0" collapsed="false">
      <c r="A54" s="6" t="s">
        <v>89</v>
      </c>
      <c r="B54" s="4" t="n">
        <f aca="false">COUNTIFS(Backlog!$D$2:$D$58,A54)</f>
        <v>2</v>
      </c>
      <c r="C54" s="4" t="n">
        <f aca="false">SUMIFS(Backlog!$H$2:$H$58,Backlog!$D$2:$D$58,A54)</f>
        <v>3</v>
      </c>
      <c r="D54" s="4" t="n">
        <f aca="false">SUMIFS(Backlog!$I$2:$I$58,Backlog!$D$2:$D$58,A54)</f>
        <v>0</v>
      </c>
      <c r="E54" s="4"/>
      <c r="F54" s="4"/>
      <c r="G54" s="4"/>
      <c r="H54" s="4"/>
    </row>
    <row r="55" customFormat="false" ht="15" hidden="false" customHeight="false" outlineLevel="0" collapsed="false">
      <c r="A55" s="6" t="s">
        <v>90</v>
      </c>
      <c r="B55" s="4" t="n">
        <f aca="false">COUNTIFS(Backlog!$D$2:$D$58,A55)</f>
        <v>8</v>
      </c>
      <c r="C55" s="4" t="n">
        <f aca="false">SUMIFS(Backlog!$H$2:$H$58,Backlog!$D$2:$D$58,A55)</f>
        <v>0</v>
      </c>
      <c r="D55" s="4" t="n">
        <f aca="false">SUMIFS(Backlog!$I$2:$I$58,Backlog!$D$2:$D$58,A55)</f>
        <v>0</v>
      </c>
      <c r="E55" s="4"/>
      <c r="F55" s="4"/>
      <c r="G55" s="4"/>
      <c r="H55" s="4"/>
    </row>
    <row r="56" customFormat="false" ht="15" hidden="false" customHeight="false" outlineLevel="0" collapsed="false">
      <c r="A56" s="4"/>
      <c r="B56" s="4"/>
      <c r="C56" s="4"/>
      <c r="D56" s="4"/>
      <c r="E56" s="4"/>
      <c r="F56" s="4"/>
      <c r="G56" s="4"/>
      <c r="H56" s="4"/>
    </row>
    <row r="57" customFormat="false" ht="15" hidden="false" customHeight="false" outlineLevel="0" collapsed="false">
      <c r="A57" s="1" t="s">
        <v>91</v>
      </c>
      <c r="B57" s="4"/>
      <c r="C57" s="4"/>
      <c r="D57" s="4"/>
      <c r="E57" s="4"/>
      <c r="F57" s="4"/>
      <c r="G57" s="4"/>
      <c r="H57" s="4"/>
    </row>
    <row r="58" customFormat="false" ht="15" hidden="false" customHeight="false" outlineLevel="0" collapsed="false">
      <c r="A58" s="5" t="s">
        <v>21</v>
      </c>
      <c r="B58" s="5" t="s">
        <v>42</v>
      </c>
      <c r="C58" s="5" t="s">
        <v>43</v>
      </c>
      <c r="D58" s="5" t="s">
        <v>92</v>
      </c>
      <c r="E58" s="4"/>
      <c r="F58" s="4"/>
      <c r="G58" s="4"/>
      <c r="H58" s="4"/>
    </row>
    <row r="59" customFormat="false" ht="15" hidden="false" customHeight="false" outlineLevel="0" collapsed="false">
      <c r="A59" s="6" t="s">
        <v>93</v>
      </c>
      <c r="B59" s="4" t="n">
        <f aca="false">COUNTIFS(Backlog!$O$2:$O$58,A59)</f>
        <v>49</v>
      </c>
      <c r="C59" s="4" t="n">
        <f aca="false">SUMIFS(Backlog!$H$2:$H$58,Backlog!$O$2:$O$58,A59)</f>
        <v>97.5</v>
      </c>
      <c r="D59" s="4" t="n">
        <f aca="false">COUNTIFS(Backlog!$O$2:$O$58,A59,Backlog!$C$2:$C$58,"P0")</f>
        <v>47</v>
      </c>
      <c r="E59" s="4"/>
      <c r="F59" s="4"/>
      <c r="G59" s="4"/>
      <c r="H59" s="4"/>
    </row>
    <row r="60" customFormat="false" ht="15" hidden="false" customHeight="false" outlineLevel="0" collapsed="false">
      <c r="A60" s="6" t="s">
        <v>94</v>
      </c>
      <c r="B60" s="4" t="n">
        <f aca="false">COUNTIFS(Backlog!$O$2:$O$58,A60)</f>
        <v>0</v>
      </c>
      <c r="C60" s="4" t="n">
        <f aca="false">SUMIFS(Backlog!$H$2:$H$58,Backlog!$O$2:$O$58,A60)</f>
        <v>0</v>
      </c>
      <c r="D60" s="4" t="n">
        <f aca="false">COUNTIFS(Backlog!$O$2:$O$58,A60,Backlog!$C$2:$C$58,"P0")</f>
        <v>0</v>
      </c>
      <c r="E60" s="4"/>
      <c r="F60" s="4"/>
      <c r="G60" s="4"/>
      <c r="H60" s="4"/>
    </row>
    <row r="61" customFormat="false" ht="15" hidden="false" customHeight="false" outlineLevel="0" collapsed="false">
      <c r="A61" s="6" t="s">
        <v>95</v>
      </c>
      <c r="B61" s="4" t="n">
        <f aca="false">COUNTIFS(Backlog!$O$2:$O$58,A61)</f>
        <v>0</v>
      </c>
      <c r="C61" s="4" t="n">
        <f aca="false">SUMIFS(Backlog!$H$2:$H$58,Backlog!$O$2:$O$58,A61)</f>
        <v>0</v>
      </c>
      <c r="D61" s="4" t="n">
        <f aca="false">COUNTIFS(Backlog!$O$2:$O$58,A61,Backlog!$C$2:$C$58,"P0")</f>
        <v>0</v>
      </c>
      <c r="E61" s="4"/>
      <c r="F61" s="4"/>
      <c r="G61" s="4"/>
      <c r="H61" s="4"/>
    </row>
    <row r="62" customFormat="false" ht="15" hidden="false" customHeight="false" outlineLevel="0" collapsed="false">
      <c r="A62" s="6" t="s">
        <v>96</v>
      </c>
      <c r="B62" s="4" t="n">
        <f aca="false">COUNTIFS(Backlog!$O$2:$O$58,A62)</f>
        <v>0</v>
      </c>
      <c r="C62" s="4" t="n">
        <f aca="false">SUMIFS(Backlog!$H$2:$H$58,Backlog!$O$2:$O$58,A62)</f>
        <v>0</v>
      </c>
      <c r="D62" s="4" t="n">
        <f aca="false">COUNTIFS(Backlog!$O$2:$O$58,A62,Backlog!$C$2:$C$58,"P0")</f>
        <v>0</v>
      </c>
      <c r="E62" s="4"/>
      <c r="F62" s="4"/>
      <c r="G62" s="4"/>
      <c r="H62" s="4"/>
    </row>
    <row r="63" customFormat="false" ht="15" hidden="false" customHeight="false" outlineLevel="0" collapsed="false">
      <c r="A63" s="6" t="s">
        <v>97</v>
      </c>
      <c r="B63" s="4"/>
      <c r="C63" s="13" t="n">
        <f aca="false">IF(SUM(C59:C62)=0,0,C61/SUM(C59:C62))</f>
        <v>0</v>
      </c>
      <c r="D63" s="4"/>
      <c r="E63" s="4"/>
      <c r="F63" s="4"/>
      <c r="G63" s="4"/>
      <c r="H63"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4"/>
    <col collapsed="false" customWidth="true" hidden="false" outlineLevel="0" max="5" min="5" style="0" width="30"/>
    <col collapsed="false" customWidth="true" hidden="false" outlineLevel="0" max="6" min="6" style="0" width="62"/>
    <col collapsed="false" customWidth="true" hidden="false" outlineLevel="0" max="7" min="7" style="0" width="42"/>
    <col collapsed="false" customWidth="true" hidden="false" outlineLevel="0" max="8" min="8" style="0" width="8"/>
    <col collapsed="false" customWidth="true" hidden="false" outlineLevel="0" max="9" min="9" style="0" width="9"/>
    <col collapsed="false" customWidth="true" hidden="false" outlineLevel="0" max="10" min="10" style="0" width="22"/>
    <col collapsed="false" customWidth="true" hidden="false" outlineLevel="0" max="11" min="11" style="0" width="10"/>
    <col collapsed="false" customWidth="true" hidden="false" outlineLevel="0" max="12" min="12" style="0" width="14"/>
    <col collapsed="false" customWidth="true" hidden="false" outlineLevel="0" max="13" min="13" style="0" width="16"/>
    <col collapsed="false" customWidth="true" hidden="false" outlineLevel="0" max="14" min="14" style="0" width="32"/>
    <col collapsed="false" customWidth="true" hidden="false" outlineLevel="0" max="15" min="15" style="0" width="13"/>
    <col collapsed="false" customWidth="true" hidden="false" outlineLevel="0" max="16" min="16" style="0" width="16"/>
  </cols>
  <sheetData>
    <row r="1" customFormat="false" ht="35.05" hidden="false" customHeight="false" outlineLevel="0" collapsed="false">
      <c r="A1" s="5" t="s">
        <v>98</v>
      </c>
      <c r="B1" s="5" t="s">
        <v>99</v>
      </c>
      <c r="C1" s="5" t="s">
        <v>70</v>
      </c>
      <c r="D1" s="5" t="s">
        <v>76</v>
      </c>
      <c r="E1" s="5" t="s">
        <v>100</v>
      </c>
      <c r="F1" s="5" t="s">
        <v>101</v>
      </c>
      <c r="G1" s="5" t="s">
        <v>102</v>
      </c>
      <c r="H1" s="5" t="s">
        <v>43</v>
      </c>
      <c r="I1" s="5" t="s">
        <v>44</v>
      </c>
      <c r="J1" s="5" t="s">
        <v>9</v>
      </c>
      <c r="K1" s="5" t="s">
        <v>103</v>
      </c>
      <c r="L1" s="5" t="s">
        <v>104</v>
      </c>
      <c r="M1" s="5" t="s">
        <v>105</v>
      </c>
      <c r="N1" s="5" t="s">
        <v>106</v>
      </c>
      <c r="O1" s="5" t="s">
        <v>21</v>
      </c>
      <c r="P1" s="5" t="s">
        <v>107</v>
      </c>
    </row>
    <row r="2" customFormat="false" ht="46.25" hidden="false" customHeight="false" outlineLevel="0" collapsed="false">
      <c r="A2" s="14" t="s">
        <v>108</v>
      </c>
      <c r="B2" s="3" t="s">
        <v>109</v>
      </c>
      <c r="C2" s="3" t="s">
        <v>71</v>
      </c>
      <c r="D2" s="3" t="s">
        <v>77</v>
      </c>
      <c r="E2" s="3" t="s">
        <v>110</v>
      </c>
      <c r="F2" s="3" t="s">
        <v>111</v>
      </c>
      <c r="G2" s="3" t="s">
        <v>112</v>
      </c>
      <c r="H2" s="15" t="n">
        <v>4</v>
      </c>
      <c r="I2" s="15" t="n">
        <v>0</v>
      </c>
      <c r="J2" s="3" t="s">
        <v>49</v>
      </c>
      <c r="K2" s="3" t="s">
        <v>113</v>
      </c>
      <c r="L2" s="3" t="s">
        <v>114</v>
      </c>
      <c r="M2" s="3" t="s">
        <v>74</v>
      </c>
      <c r="N2" s="3" t="s">
        <v>115</v>
      </c>
      <c r="O2" s="3" t="s">
        <v>93</v>
      </c>
      <c r="P2" s="16"/>
    </row>
    <row r="3" customFormat="false" ht="35.05" hidden="false" customHeight="false" outlineLevel="0" collapsed="false">
      <c r="A3" s="14" t="s">
        <v>116</v>
      </c>
      <c r="B3" s="3" t="s">
        <v>117</v>
      </c>
      <c r="C3" s="3" t="s">
        <v>71</v>
      </c>
      <c r="D3" s="3" t="s">
        <v>77</v>
      </c>
      <c r="E3" s="3" t="s">
        <v>118</v>
      </c>
      <c r="F3" s="3" t="s">
        <v>119</v>
      </c>
      <c r="G3" s="3" t="s">
        <v>120</v>
      </c>
      <c r="H3" s="15" t="n">
        <v>3</v>
      </c>
      <c r="I3" s="15" t="n">
        <v>0</v>
      </c>
      <c r="J3" s="3" t="s">
        <v>49</v>
      </c>
      <c r="K3" s="3" t="s">
        <v>121</v>
      </c>
      <c r="L3" s="3" t="s">
        <v>122</v>
      </c>
      <c r="M3" s="3" t="s">
        <v>108</v>
      </c>
      <c r="N3" s="3" t="s">
        <v>123</v>
      </c>
      <c r="O3" s="3" t="s">
        <v>93</v>
      </c>
      <c r="P3" s="16"/>
    </row>
    <row r="4" customFormat="false" ht="35.05" hidden="false" customHeight="false" outlineLevel="0" collapsed="false">
      <c r="A4" s="14" t="s">
        <v>124</v>
      </c>
      <c r="B4" s="3" t="s">
        <v>125</v>
      </c>
      <c r="C4" s="3" t="s">
        <v>71</v>
      </c>
      <c r="D4" s="3" t="s">
        <v>78</v>
      </c>
      <c r="E4" s="3" t="s">
        <v>126</v>
      </c>
      <c r="F4" s="3" t="s">
        <v>127</v>
      </c>
      <c r="G4" s="3" t="s">
        <v>128</v>
      </c>
      <c r="H4" s="15" t="n">
        <v>1.5</v>
      </c>
      <c r="I4" s="15" t="n">
        <v>0</v>
      </c>
      <c r="J4" s="3" t="s">
        <v>49</v>
      </c>
      <c r="K4" s="3" t="s">
        <v>129</v>
      </c>
      <c r="L4" s="3" t="s">
        <v>130</v>
      </c>
      <c r="M4" s="3" t="s">
        <v>108</v>
      </c>
      <c r="N4" s="3" t="s">
        <v>131</v>
      </c>
      <c r="O4" s="3" t="s">
        <v>93</v>
      </c>
      <c r="P4" s="16"/>
    </row>
    <row r="5" customFormat="false" ht="57.45" hidden="false" customHeight="false" outlineLevel="0" collapsed="false">
      <c r="A5" s="14" t="s">
        <v>132</v>
      </c>
      <c r="B5" s="3" t="s">
        <v>133</v>
      </c>
      <c r="C5" s="3" t="s">
        <v>71</v>
      </c>
      <c r="D5" s="3" t="s">
        <v>79</v>
      </c>
      <c r="E5" s="3" t="s">
        <v>134</v>
      </c>
      <c r="F5" s="3" t="s">
        <v>135</v>
      </c>
      <c r="G5" s="3" t="s">
        <v>136</v>
      </c>
      <c r="H5" s="15" t="n">
        <v>3</v>
      </c>
      <c r="I5" s="15" t="n">
        <v>0</v>
      </c>
      <c r="J5" s="3" t="s">
        <v>49</v>
      </c>
      <c r="K5" s="3" t="s">
        <v>121</v>
      </c>
      <c r="L5" s="3" t="s">
        <v>130</v>
      </c>
      <c r="M5" s="3" t="s">
        <v>108</v>
      </c>
      <c r="N5" s="3" t="s">
        <v>137</v>
      </c>
      <c r="O5" s="3" t="s">
        <v>93</v>
      </c>
      <c r="P5" s="16"/>
    </row>
    <row r="6" customFormat="false" ht="23.85" hidden="false" customHeight="false" outlineLevel="0" collapsed="false">
      <c r="A6" s="14" t="s">
        <v>138</v>
      </c>
      <c r="B6" s="3" t="s">
        <v>139</v>
      </c>
      <c r="C6" s="3" t="s">
        <v>71</v>
      </c>
      <c r="D6" s="3" t="s">
        <v>79</v>
      </c>
      <c r="E6" s="3" t="s">
        <v>140</v>
      </c>
      <c r="F6" s="3" t="s">
        <v>141</v>
      </c>
      <c r="G6" s="3" t="s">
        <v>142</v>
      </c>
      <c r="H6" s="15" t="n">
        <v>2</v>
      </c>
      <c r="I6" s="15" t="n">
        <v>0</v>
      </c>
      <c r="J6" s="3" t="s">
        <v>49</v>
      </c>
      <c r="K6" s="3" t="s">
        <v>129</v>
      </c>
      <c r="L6" s="3" t="s">
        <v>122</v>
      </c>
      <c r="M6" s="3" t="s">
        <v>143</v>
      </c>
      <c r="N6" s="3" t="s">
        <v>144</v>
      </c>
      <c r="O6" s="3" t="s">
        <v>93</v>
      </c>
      <c r="P6" s="16"/>
    </row>
    <row r="7" customFormat="false" ht="35.05" hidden="false" customHeight="false" outlineLevel="0" collapsed="false">
      <c r="A7" s="14" t="s">
        <v>145</v>
      </c>
      <c r="B7" s="3" t="s">
        <v>146</v>
      </c>
      <c r="C7" s="3" t="s">
        <v>71</v>
      </c>
      <c r="D7" s="3" t="s">
        <v>79</v>
      </c>
      <c r="E7" s="3" t="s">
        <v>147</v>
      </c>
      <c r="F7" s="3" t="s">
        <v>148</v>
      </c>
      <c r="G7" s="3" t="s">
        <v>149</v>
      </c>
      <c r="H7" s="15" t="n">
        <v>2</v>
      </c>
      <c r="I7" s="15" t="n">
        <v>0</v>
      </c>
      <c r="J7" s="3" t="s">
        <v>49</v>
      </c>
      <c r="K7" s="3" t="s">
        <v>150</v>
      </c>
      <c r="L7" s="3" t="s">
        <v>122</v>
      </c>
      <c r="M7" s="3" t="s">
        <v>116</v>
      </c>
      <c r="N7" s="3" t="s">
        <v>151</v>
      </c>
      <c r="O7" s="3" t="s">
        <v>93</v>
      </c>
      <c r="P7" s="16"/>
    </row>
    <row r="8" customFormat="false" ht="46.25" hidden="false" customHeight="false" outlineLevel="0" collapsed="false">
      <c r="A8" s="14" t="s">
        <v>152</v>
      </c>
      <c r="B8" s="3" t="s">
        <v>153</v>
      </c>
      <c r="C8" s="3" t="s">
        <v>71</v>
      </c>
      <c r="D8" s="3" t="s">
        <v>80</v>
      </c>
      <c r="E8" s="3" t="s">
        <v>154</v>
      </c>
      <c r="F8" s="3" t="s">
        <v>155</v>
      </c>
      <c r="G8" s="3" t="s">
        <v>156</v>
      </c>
      <c r="H8" s="15" t="n">
        <v>2.5</v>
      </c>
      <c r="I8" s="15" t="n">
        <v>0</v>
      </c>
      <c r="J8" s="3" t="s">
        <v>49</v>
      </c>
      <c r="K8" s="3" t="s">
        <v>129</v>
      </c>
      <c r="L8" s="3" t="s">
        <v>130</v>
      </c>
      <c r="M8" s="3" t="s">
        <v>132</v>
      </c>
      <c r="N8" s="3" t="s">
        <v>157</v>
      </c>
      <c r="O8" s="3" t="s">
        <v>93</v>
      </c>
      <c r="P8" s="16"/>
    </row>
    <row r="9" customFormat="false" ht="23.85" hidden="false" customHeight="false" outlineLevel="0" collapsed="false">
      <c r="A9" s="14" t="s">
        <v>158</v>
      </c>
      <c r="B9" s="3" t="s">
        <v>153</v>
      </c>
      <c r="C9" s="3" t="s">
        <v>71</v>
      </c>
      <c r="D9" s="3" t="s">
        <v>80</v>
      </c>
      <c r="E9" s="3" t="s">
        <v>159</v>
      </c>
      <c r="F9" s="3" t="s">
        <v>160</v>
      </c>
      <c r="G9" s="3" t="s">
        <v>161</v>
      </c>
      <c r="H9" s="15" t="n">
        <v>1.5</v>
      </c>
      <c r="I9" s="15" t="n">
        <v>0</v>
      </c>
      <c r="J9" s="3" t="s">
        <v>49</v>
      </c>
      <c r="K9" s="3" t="s">
        <v>129</v>
      </c>
      <c r="L9" s="3" t="s">
        <v>130</v>
      </c>
      <c r="M9" s="3" t="s">
        <v>132</v>
      </c>
      <c r="N9" s="3" t="s">
        <v>162</v>
      </c>
      <c r="O9" s="3" t="s">
        <v>93</v>
      </c>
      <c r="P9" s="16"/>
    </row>
    <row r="10" customFormat="false" ht="23.85" hidden="false" customHeight="false" outlineLevel="0" collapsed="false">
      <c r="A10" s="14" t="s">
        <v>163</v>
      </c>
      <c r="B10" s="3" t="s">
        <v>164</v>
      </c>
      <c r="C10" s="3" t="s">
        <v>71</v>
      </c>
      <c r="D10" s="3" t="s">
        <v>80</v>
      </c>
      <c r="E10" s="3" t="s">
        <v>165</v>
      </c>
      <c r="F10" s="3" t="s">
        <v>166</v>
      </c>
      <c r="G10" s="3" t="s">
        <v>167</v>
      </c>
      <c r="H10" s="15" t="n">
        <v>1</v>
      </c>
      <c r="I10" s="15" t="n">
        <v>0</v>
      </c>
      <c r="J10" s="3" t="s">
        <v>49</v>
      </c>
      <c r="K10" s="3" t="s">
        <v>129</v>
      </c>
      <c r="L10" s="3" t="s">
        <v>130</v>
      </c>
      <c r="M10" s="3" t="s">
        <v>152</v>
      </c>
      <c r="N10" s="3" t="s">
        <v>168</v>
      </c>
      <c r="O10" s="3" t="s">
        <v>93</v>
      </c>
      <c r="P10" s="16"/>
    </row>
    <row r="11" customFormat="false" ht="35.05" hidden="false" customHeight="false" outlineLevel="0" collapsed="false">
      <c r="A11" s="14" t="s">
        <v>169</v>
      </c>
      <c r="B11" s="3" t="s">
        <v>170</v>
      </c>
      <c r="C11" s="3" t="s">
        <v>71</v>
      </c>
      <c r="D11" s="3" t="s">
        <v>80</v>
      </c>
      <c r="E11" s="3" t="s">
        <v>171</v>
      </c>
      <c r="F11" s="3" t="s">
        <v>172</v>
      </c>
      <c r="G11" s="3" t="s">
        <v>173</v>
      </c>
      <c r="H11" s="15" t="n">
        <v>2</v>
      </c>
      <c r="I11" s="15" t="n">
        <v>0.5</v>
      </c>
      <c r="J11" s="3" t="s">
        <v>49</v>
      </c>
      <c r="K11" s="3" t="s">
        <v>129</v>
      </c>
      <c r="L11" s="3" t="s">
        <v>130</v>
      </c>
      <c r="M11" s="3" t="s">
        <v>174</v>
      </c>
      <c r="N11" s="3" t="s">
        <v>175</v>
      </c>
      <c r="O11" s="3" t="s">
        <v>93</v>
      </c>
      <c r="P11" s="16"/>
    </row>
    <row r="12" customFormat="false" ht="35.05" hidden="false" customHeight="false" outlineLevel="0" collapsed="false">
      <c r="A12" s="14" t="s">
        <v>176</v>
      </c>
      <c r="B12" s="3" t="s">
        <v>177</v>
      </c>
      <c r="C12" s="3" t="s">
        <v>71</v>
      </c>
      <c r="D12" s="3" t="s">
        <v>80</v>
      </c>
      <c r="E12" s="3" t="s">
        <v>178</v>
      </c>
      <c r="F12" s="3" t="s">
        <v>179</v>
      </c>
      <c r="G12" s="3" t="s">
        <v>180</v>
      </c>
      <c r="H12" s="15" t="n">
        <v>2</v>
      </c>
      <c r="I12" s="15" t="n">
        <v>0</v>
      </c>
      <c r="J12" s="3" t="s">
        <v>49</v>
      </c>
      <c r="K12" s="3" t="s">
        <v>129</v>
      </c>
      <c r="L12" s="3" t="s">
        <v>130</v>
      </c>
      <c r="M12" s="3" t="s">
        <v>169</v>
      </c>
      <c r="N12" s="3" t="s">
        <v>181</v>
      </c>
      <c r="O12" s="3" t="s">
        <v>93</v>
      </c>
      <c r="P12" s="16"/>
    </row>
    <row r="13" customFormat="false" ht="23.85" hidden="false" customHeight="false" outlineLevel="0" collapsed="false">
      <c r="A13" s="14" t="s">
        <v>174</v>
      </c>
      <c r="B13" s="3" t="s">
        <v>182</v>
      </c>
      <c r="C13" s="3" t="s">
        <v>71</v>
      </c>
      <c r="D13" s="3" t="s">
        <v>81</v>
      </c>
      <c r="E13" s="3" t="s">
        <v>183</v>
      </c>
      <c r="F13" s="3" t="s">
        <v>184</v>
      </c>
      <c r="G13" s="3" t="s">
        <v>185</v>
      </c>
      <c r="H13" s="15" t="n">
        <v>0</v>
      </c>
      <c r="I13" s="15" t="n">
        <v>1</v>
      </c>
      <c r="J13" s="3" t="s">
        <v>49</v>
      </c>
      <c r="K13" s="3" t="s">
        <v>113</v>
      </c>
      <c r="L13" s="3" t="s">
        <v>186</v>
      </c>
      <c r="M13" s="3" t="s">
        <v>74</v>
      </c>
      <c r="N13" s="3" t="s">
        <v>187</v>
      </c>
      <c r="O13" s="3" t="s">
        <v>93</v>
      </c>
      <c r="P13" s="16"/>
    </row>
    <row r="14" customFormat="false" ht="35.05" hidden="false" customHeight="false" outlineLevel="0" collapsed="false">
      <c r="A14" s="14" t="s">
        <v>188</v>
      </c>
      <c r="B14" s="3" t="s">
        <v>189</v>
      </c>
      <c r="C14" s="3" t="s">
        <v>71</v>
      </c>
      <c r="D14" s="3" t="s">
        <v>82</v>
      </c>
      <c r="E14" s="3" t="s">
        <v>190</v>
      </c>
      <c r="F14" s="3" t="s">
        <v>191</v>
      </c>
      <c r="G14" s="3" t="s">
        <v>192</v>
      </c>
      <c r="H14" s="15" t="n">
        <v>0</v>
      </c>
      <c r="I14" s="15" t="n">
        <v>5</v>
      </c>
      <c r="J14" s="3" t="s">
        <v>49</v>
      </c>
      <c r="K14" s="3" t="s">
        <v>193</v>
      </c>
      <c r="L14" s="3" t="s">
        <v>194</v>
      </c>
      <c r="M14" s="3" t="s">
        <v>174</v>
      </c>
      <c r="N14" s="3" t="s">
        <v>195</v>
      </c>
      <c r="O14" s="3" t="s">
        <v>93</v>
      </c>
      <c r="P14" s="16"/>
    </row>
    <row r="15" customFormat="false" ht="57.45" hidden="false" customHeight="false" outlineLevel="0" collapsed="false">
      <c r="A15" s="14" t="s">
        <v>196</v>
      </c>
      <c r="B15" s="3" t="s">
        <v>197</v>
      </c>
      <c r="C15" s="3" t="s">
        <v>71</v>
      </c>
      <c r="D15" s="3" t="s">
        <v>81</v>
      </c>
      <c r="E15" s="3" t="s">
        <v>198</v>
      </c>
      <c r="F15" s="3" t="s">
        <v>199</v>
      </c>
      <c r="G15" s="3" t="s">
        <v>200</v>
      </c>
      <c r="H15" s="15" t="n">
        <v>1.5</v>
      </c>
      <c r="I15" s="15" t="n">
        <v>2</v>
      </c>
      <c r="J15" s="3" t="s">
        <v>50</v>
      </c>
      <c r="K15" s="3" t="s">
        <v>201</v>
      </c>
      <c r="L15" s="3" t="s">
        <v>202</v>
      </c>
      <c r="M15" s="3" t="s">
        <v>203</v>
      </c>
      <c r="N15" s="3" t="s">
        <v>204</v>
      </c>
      <c r="O15" s="3" t="s">
        <v>93</v>
      </c>
      <c r="P15" s="16"/>
    </row>
    <row r="16" customFormat="false" ht="23.85" hidden="false" customHeight="false" outlineLevel="0" collapsed="false">
      <c r="A16" s="14" t="s">
        <v>205</v>
      </c>
      <c r="B16" s="3" t="s">
        <v>206</v>
      </c>
      <c r="C16" s="3" t="s">
        <v>71</v>
      </c>
      <c r="D16" s="3" t="s">
        <v>81</v>
      </c>
      <c r="E16" s="3" t="s">
        <v>207</v>
      </c>
      <c r="F16" s="3" t="s">
        <v>208</v>
      </c>
      <c r="G16" s="3" t="s">
        <v>209</v>
      </c>
      <c r="H16" s="15" t="n">
        <v>0.5</v>
      </c>
      <c r="I16" s="15" t="n">
        <v>0</v>
      </c>
      <c r="J16" s="3" t="s">
        <v>50</v>
      </c>
      <c r="K16" s="3" t="s">
        <v>210</v>
      </c>
      <c r="L16" s="3" t="s">
        <v>114</v>
      </c>
      <c r="M16" s="3" t="s">
        <v>108</v>
      </c>
      <c r="N16" s="3" t="s">
        <v>211</v>
      </c>
      <c r="O16" s="3" t="s">
        <v>93</v>
      </c>
      <c r="P16" s="16"/>
    </row>
    <row r="17" customFormat="false" ht="23.85" hidden="false" customHeight="false" outlineLevel="0" collapsed="false">
      <c r="A17" s="14" t="s">
        <v>212</v>
      </c>
      <c r="B17" s="3" t="s">
        <v>213</v>
      </c>
      <c r="C17" s="3" t="s">
        <v>71</v>
      </c>
      <c r="D17" s="3" t="s">
        <v>83</v>
      </c>
      <c r="E17" s="3" t="s">
        <v>214</v>
      </c>
      <c r="F17" s="3" t="s">
        <v>215</v>
      </c>
      <c r="G17" s="3" t="s">
        <v>216</v>
      </c>
      <c r="H17" s="15" t="n">
        <v>1</v>
      </c>
      <c r="I17" s="15" t="n">
        <v>0</v>
      </c>
      <c r="J17" s="3" t="s">
        <v>50</v>
      </c>
      <c r="K17" s="3" t="s">
        <v>210</v>
      </c>
      <c r="L17" s="3" t="s">
        <v>114</v>
      </c>
      <c r="M17" s="3" t="s">
        <v>132</v>
      </c>
      <c r="N17" s="3" t="s">
        <v>217</v>
      </c>
      <c r="O17" s="3" t="s">
        <v>93</v>
      </c>
      <c r="P17" s="16"/>
    </row>
    <row r="18" customFormat="false" ht="57.45" hidden="false" customHeight="false" outlineLevel="0" collapsed="false">
      <c r="A18" s="14" t="s">
        <v>218</v>
      </c>
      <c r="B18" s="3" t="s">
        <v>197</v>
      </c>
      <c r="C18" s="3" t="s">
        <v>71</v>
      </c>
      <c r="D18" s="3" t="s">
        <v>81</v>
      </c>
      <c r="E18" s="3" t="s">
        <v>219</v>
      </c>
      <c r="F18" s="3" t="s">
        <v>220</v>
      </c>
      <c r="G18" s="3" t="s">
        <v>221</v>
      </c>
      <c r="H18" s="15" t="n">
        <v>4</v>
      </c>
      <c r="I18" s="15" t="n">
        <v>0</v>
      </c>
      <c r="J18" s="3" t="s">
        <v>50</v>
      </c>
      <c r="K18" s="3" t="s">
        <v>222</v>
      </c>
      <c r="L18" s="3" t="s">
        <v>130</v>
      </c>
      <c r="M18" s="3" t="s">
        <v>223</v>
      </c>
      <c r="N18" s="3" t="s">
        <v>224</v>
      </c>
      <c r="O18" s="3" t="s">
        <v>93</v>
      </c>
      <c r="P18" s="16"/>
    </row>
    <row r="19" customFormat="false" ht="57.45" hidden="false" customHeight="false" outlineLevel="0" collapsed="false">
      <c r="A19" s="14" t="s">
        <v>225</v>
      </c>
      <c r="B19" s="3" t="s">
        <v>226</v>
      </c>
      <c r="C19" s="3" t="s">
        <v>71</v>
      </c>
      <c r="D19" s="3" t="s">
        <v>81</v>
      </c>
      <c r="E19" s="3" t="s">
        <v>227</v>
      </c>
      <c r="F19" s="3" t="s">
        <v>228</v>
      </c>
      <c r="G19" s="3" t="s">
        <v>229</v>
      </c>
      <c r="H19" s="15" t="n">
        <v>4</v>
      </c>
      <c r="I19" s="15" t="n">
        <v>3</v>
      </c>
      <c r="J19" s="3" t="s">
        <v>50</v>
      </c>
      <c r="K19" s="3" t="s">
        <v>230</v>
      </c>
      <c r="L19" s="3" t="s">
        <v>231</v>
      </c>
      <c r="M19" s="3" t="s">
        <v>232</v>
      </c>
      <c r="N19" s="3" t="s">
        <v>233</v>
      </c>
      <c r="O19" s="3" t="s">
        <v>93</v>
      </c>
      <c r="P19" s="16"/>
    </row>
    <row r="20" customFormat="false" ht="35.05" hidden="false" customHeight="false" outlineLevel="0" collapsed="false">
      <c r="A20" s="14" t="s">
        <v>234</v>
      </c>
      <c r="B20" s="3" t="s">
        <v>235</v>
      </c>
      <c r="C20" s="3" t="s">
        <v>71</v>
      </c>
      <c r="D20" s="3" t="s">
        <v>78</v>
      </c>
      <c r="E20" s="3" t="s">
        <v>236</v>
      </c>
      <c r="F20" s="3" t="s">
        <v>237</v>
      </c>
      <c r="G20" s="3" t="s">
        <v>238</v>
      </c>
      <c r="H20" s="15" t="n">
        <v>1</v>
      </c>
      <c r="I20" s="15" t="n">
        <v>0</v>
      </c>
      <c r="J20" s="3" t="s">
        <v>51</v>
      </c>
      <c r="K20" s="3" t="s">
        <v>239</v>
      </c>
      <c r="L20" s="3" t="s">
        <v>114</v>
      </c>
      <c r="M20" s="3" t="s">
        <v>152</v>
      </c>
      <c r="N20" s="3" t="s">
        <v>240</v>
      </c>
      <c r="O20" s="3" t="s">
        <v>93</v>
      </c>
      <c r="P20" s="16"/>
    </row>
    <row r="21" customFormat="false" ht="23.85" hidden="false" customHeight="false" outlineLevel="0" collapsed="false">
      <c r="A21" s="14" t="s">
        <v>241</v>
      </c>
      <c r="B21" s="3" t="s">
        <v>242</v>
      </c>
      <c r="C21" s="3" t="s">
        <v>71</v>
      </c>
      <c r="D21" s="3" t="s">
        <v>78</v>
      </c>
      <c r="E21" s="3" t="s">
        <v>243</v>
      </c>
      <c r="F21" s="3" t="s">
        <v>244</v>
      </c>
      <c r="G21" s="3" t="s">
        <v>245</v>
      </c>
      <c r="H21" s="15" t="n">
        <v>2</v>
      </c>
      <c r="I21" s="15" t="n">
        <v>0</v>
      </c>
      <c r="J21" s="3" t="s">
        <v>51</v>
      </c>
      <c r="K21" s="3" t="s">
        <v>239</v>
      </c>
      <c r="L21" s="3" t="s">
        <v>130</v>
      </c>
      <c r="M21" s="3" t="s">
        <v>234</v>
      </c>
      <c r="N21" s="3" t="s">
        <v>246</v>
      </c>
      <c r="O21" s="3" t="s">
        <v>93</v>
      </c>
      <c r="P21" s="16"/>
    </row>
    <row r="22" customFormat="false" ht="57.45" hidden="false" customHeight="false" outlineLevel="0" collapsed="false">
      <c r="A22" s="14" t="s">
        <v>247</v>
      </c>
      <c r="B22" s="3" t="s">
        <v>248</v>
      </c>
      <c r="C22" s="3" t="s">
        <v>71</v>
      </c>
      <c r="D22" s="3" t="s">
        <v>81</v>
      </c>
      <c r="E22" s="3" t="s">
        <v>249</v>
      </c>
      <c r="F22" s="3" t="s">
        <v>250</v>
      </c>
      <c r="G22" s="3" t="s">
        <v>251</v>
      </c>
      <c r="H22" s="15" t="n">
        <v>2.5</v>
      </c>
      <c r="I22" s="15" t="n">
        <v>1</v>
      </c>
      <c r="J22" s="3" t="s">
        <v>51</v>
      </c>
      <c r="K22" s="3" t="s">
        <v>252</v>
      </c>
      <c r="L22" s="3" t="s">
        <v>130</v>
      </c>
      <c r="M22" s="3" t="s">
        <v>253</v>
      </c>
      <c r="N22" s="3" t="s">
        <v>254</v>
      </c>
      <c r="O22" s="3" t="s">
        <v>93</v>
      </c>
      <c r="P22" s="16"/>
    </row>
    <row r="23" customFormat="false" ht="35.05" hidden="false" customHeight="false" outlineLevel="0" collapsed="false">
      <c r="A23" s="14" t="s">
        <v>255</v>
      </c>
      <c r="B23" s="3" t="s">
        <v>256</v>
      </c>
      <c r="C23" s="3" t="s">
        <v>71</v>
      </c>
      <c r="D23" s="3" t="s">
        <v>78</v>
      </c>
      <c r="E23" s="3" t="s">
        <v>257</v>
      </c>
      <c r="F23" s="3" t="s">
        <v>258</v>
      </c>
      <c r="G23" s="3" t="s">
        <v>259</v>
      </c>
      <c r="H23" s="15" t="n">
        <v>2.5</v>
      </c>
      <c r="I23" s="15" t="n">
        <v>0</v>
      </c>
      <c r="J23" s="3" t="s">
        <v>51</v>
      </c>
      <c r="K23" s="3" t="s">
        <v>252</v>
      </c>
      <c r="L23" s="3" t="s">
        <v>130</v>
      </c>
      <c r="M23" s="3" t="s">
        <v>260</v>
      </c>
      <c r="N23" s="3" t="s">
        <v>261</v>
      </c>
      <c r="O23" s="3" t="s">
        <v>93</v>
      </c>
      <c r="P23" s="16"/>
    </row>
    <row r="24" customFormat="false" ht="46.25" hidden="false" customHeight="false" outlineLevel="0" collapsed="false">
      <c r="A24" s="14" t="s">
        <v>262</v>
      </c>
      <c r="B24" s="3" t="s">
        <v>263</v>
      </c>
      <c r="C24" s="3" t="s">
        <v>71</v>
      </c>
      <c r="D24" s="3" t="s">
        <v>81</v>
      </c>
      <c r="E24" s="3" t="s">
        <v>264</v>
      </c>
      <c r="F24" s="3" t="s">
        <v>265</v>
      </c>
      <c r="G24" s="3" t="s">
        <v>266</v>
      </c>
      <c r="H24" s="15" t="n">
        <v>3</v>
      </c>
      <c r="I24" s="15" t="n">
        <v>0.5</v>
      </c>
      <c r="J24" s="3" t="s">
        <v>51</v>
      </c>
      <c r="K24" s="3" t="s">
        <v>252</v>
      </c>
      <c r="L24" s="3" t="s">
        <v>114</v>
      </c>
      <c r="M24" s="3" t="s">
        <v>225</v>
      </c>
      <c r="N24" s="3" t="s">
        <v>267</v>
      </c>
      <c r="O24" s="3" t="s">
        <v>93</v>
      </c>
      <c r="P24" s="16"/>
    </row>
    <row r="25" customFormat="false" ht="35.05" hidden="false" customHeight="false" outlineLevel="0" collapsed="false">
      <c r="A25" s="14" t="s">
        <v>268</v>
      </c>
      <c r="B25" s="3" t="s">
        <v>269</v>
      </c>
      <c r="C25" s="3" t="s">
        <v>71</v>
      </c>
      <c r="D25" s="3" t="s">
        <v>84</v>
      </c>
      <c r="E25" s="3" t="s">
        <v>270</v>
      </c>
      <c r="F25" s="3" t="s">
        <v>271</v>
      </c>
      <c r="G25" s="3" t="s">
        <v>272</v>
      </c>
      <c r="H25" s="15" t="n">
        <v>2</v>
      </c>
      <c r="I25" s="15" t="n">
        <v>0</v>
      </c>
      <c r="J25" s="3" t="s">
        <v>51</v>
      </c>
      <c r="K25" s="3" t="s">
        <v>273</v>
      </c>
      <c r="L25" s="3" t="s">
        <v>114</v>
      </c>
      <c r="M25" s="3" t="s">
        <v>108</v>
      </c>
      <c r="N25" s="3" t="s">
        <v>274</v>
      </c>
      <c r="O25" s="3" t="s">
        <v>93</v>
      </c>
      <c r="P25" s="16"/>
    </row>
    <row r="26" customFormat="false" ht="23.85" hidden="false" customHeight="false" outlineLevel="0" collapsed="false">
      <c r="A26" s="14" t="s">
        <v>275</v>
      </c>
      <c r="B26" s="3" t="s">
        <v>256</v>
      </c>
      <c r="C26" s="3" t="s">
        <v>71</v>
      </c>
      <c r="D26" s="3" t="s">
        <v>78</v>
      </c>
      <c r="E26" s="3" t="s">
        <v>276</v>
      </c>
      <c r="F26" s="3" t="s">
        <v>277</v>
      </c>
      <c r="G26" s="3" t="s">
        <v>278</v>
      </c>
      <c r="H26" s="15" t="n">
        <v>2.5</v>
      </c>
      <c r="I26" s="15" t="n">
        <v>0</v>
      </c>
      <c r="J26" s="3" t="s">
        <v>51</v>
      </c>
      <c r="K26" s="3" t="s">
        <v>279</v>
      </c>
      <c r="L26" s="3" t="s">
        <v>130</v>
      </c>
      <c r="M26" s="3" t="s">
        <v>124</v>
      </c>
      <c r="N26" s="3" t="s">
        <v>280</v>
      </c>
      <c r="O26" s="3" t="s">
        <v>93</v>
      </c>
      <c r="P26" s="16"/>
    </row>
    <row r="27" customFormat="false" ht="23.85" hidden="false" customHeight="false" outlineLevel="0" collapsed="false">
      <c r="A27" s="14" t="s">
        <v>281</v>
      </c>
      <c r="B27" s="3" t="s">
        <v>256</v>
      </c>
      <c r="C27" s="3" t="s">
        <v>71</v>
      </c>
      <c r="D27" s="3" t="s">
        <v>78</v>
      </c>
      <c r="E27" s="3" t="s">
        <v>282</v>
      </c>
      <c r="F27" s="3" t="s">
        <v>283</v>
      </c>
      <c r="G27" s="3" t="s">
        <v>284</v>
      </c>
      <c r="H27" s="15" t="n">
        <v>1.5</v>
      </c>
      <c r="I27" s="15" t="n">
        <v>0</v>
      </c>
      <c r="J27" s="3" t="s">
        <v>51</v>
      </c>
      <c r="K27" s="3" t="s">
        <v>285</v>
      </c>
      <c r="L27" s="3" t="s">
        <v>130</v>
      </c>
      <c r="M27" s="3" t="s">
        <v>286</v>
      </c>
      <c r="N27" s="3" t="s">
        <v>287</v>
      </c>
      <c r="O27" s="3" t="s">
        <v>93</v>
      </c>
      <c r="P27" s="16"/>
    </row>
    <row r="28" customFormat="false" ht="35.05" hidden="false" customHeight="false" outlineLevel="0" collapsed="false">
      <c r="A28" s="14" t="s">
        <v>288</v>
      </c>
      <c r="B28" s="3" t="s">
        <v>289</v>
      </c>
      <c r="C28" s="3" t="s">
        <v>71</v>
      </c>
      <c r="D28" s="3" t="s">
        <v>82</v>
      </c>
      <c r="E28" s="3" t="s">
        <v>290</v>
      </c>
      <c r="F28" s="3" t="s">
        <v>291</v>
      </c>
      <c r="G28" s="3" t="s">
        <v>292</v>
      </c>
      <c r="H28" s="15" t="n">
        <v>3</v>
      </c>
      <c r="I28" s="15" t="n">
        <v>0</v>
      </c>
      <c r="J28" s="3" t="s">
        <v>52</v>
      </c>
      <c r="K28" s="3" t="s">
        <v>293</v>
      </c>
      <c r="L28" s="3" t="s">
        <v>294</v>
      </c>
      <c r="M28" s="3" t="s">
        <v>188</v>
      </c>
      <c r="N28" s="3" t="s">
        <v>295</v>
      </c>
      <c r="O28" s="3" t="s">
        <v>93</v>
      </c>
      <c r="P28" s="16"/>
    </row>
    <row r="29" customFormat="false" ht="35.05" hidden="false" customHeight="false" outlineLevel="0" collapsed="false">
      <c r="A29" s="14" t="s">
        <v>296</v>
      </c>
      <c r="B29" s="3" t="s">
        <v>297</v>
      </c>
      <c r="C29" s="3" t="s">
        <v>71</v>
      </c>
      <c r="D29" s="3" t="s">
        <v>82</v>
      </c>
      <c r="E29" s="3" t="s">
        <v>298</v>
      </c>
      <c r="F29" s="3" t="s">
        <v>299</v>
      </c>
      <c r="G29" s="3" t="s">
        <v>300</v>
      </c>
      <c r="H29" s="15" t="n">
        <v>1.5</v>
      </c>
      <c r="I29" s="15" t="n">
        <v>0</v>
      </c>
      <c r="J29" s="3" t="s">
        <v>52</v>
      </c>
      <c r="K29" s="3" t="s">
        <v>301</v>
      </c>
      <c r="L29" s="3" t="s">
        <v>294</v>
      </c>
      <c r="M29" s="3" t="s">
        <v>288</v>
      </c>
      <c r="N29" s="3" t="s">
        <v>302</v>
      </c>
      <c r="O29" s="3" t="s">
        <v>93</v>
      </c>
      <c r="P29" s="16"/>
    </row>
    <row r="30" customFormat="false" ht="35.05" hidden="false" customHeight="false" outlineLevel="0" collapsed="false">
      <c r="A30" s="14" t="s">
        <v>303</v>
      </c>
      <c r="B30" s="3" t="s">
        <v>297</v>
      </c>
      <c r="C30" s="3" t="s">
        <v>71</v>
      </c>
      <c r="D30" s="3" t="s">
        <v>82</v>
      </c>
      <c r="E30" s="3" t="s">
        <v>304</v>
      </c>
      <c r="F30" s="3" t="s">
        <v>305</v>
      </c>
      <c r="G30" s="3" t="s">
        <v>306</v>
      </c>
      <c r="H30" s="15" t="n">
        <v>6</v>
      </c>
      <c r="I30" s="15" t="n">
        <v>3</v>
      </c>
      <c r="J30" s="3" t="s">
        <v>52</v>
      </c>
      <c r="K30" s="3" t="s">
        <v>307</v>
      </c>
      <c r="L30" s="3" t="s">
        <v>308</v>
      </c>
      <c r="M30" s="3" t="s">
        <v>309</v>
      </c>
      <c r="N30" s="3" t="s">
        <v>310</v>
      </c>
      <c r="O30" s="3" t="s">
        <v>93</v>
      </c>
      <c r="P30" s="16"/>
    </row>
    <row r="31" customFormat="false" ht="46.25" hidden="false" customHeight="false" outlineLevel="0" collapsed="false">
      <c r="A31" s="14" t="s">
        <v>311</v>
      </c>
      <c r="B31" s="3" t="s">
        <v>312</v>
      </c>
      <c r="C31" s="3" t="s">
        <v>71</v>
      </c>
      <c r="D31" s="3" t="s">
        <v>82</v>
      </c>
      <c r="E31" s="3" t="s">
        <v>313</v>
      </c>
      <c r="F31" s="3" t="s">
        <v>314</v>
      </c>
      <c r="G31" s="3" t="s">
        <v>315</v>
      </c>
      <c r="H31" s="15" t="n">
        <v>1.5</v>
      </c>
      <c r="I31" s="15" t="n">
        <v>0</v>
      </c>
      <c r="J31" s="3" t="s">
        <v>52</v>
      </c>
      <c r="K31" s="3" t="s">
        <v>316</v>
      </c>
      <c r="L31" s="3" t="s">
        <v>130</v>
      </c>
      <c r="M31" s="3" t="s">
        <v>303</v>
      </c>
      <c r="N31" s="3" t="s">
        <v>317</v>
      </c>
      <c r="O31" s="3" t="s">
        <v>93</v>
      </c>
      <c r="P31" s="16"/>
    </row>
    <row r="32" customFormat="false" ht="23.85" hidden="false" customHeight="false" outlineLevel="0" collapsed="false">
      <c r="A32" s="14" t="s">
        <v>318</v>
      </c>
      <c r="B32" s="3" t="s">
        <v>319</v>
      </c>
      <c r="C32" s="3" t="s">
        <v>71</v>
      </c>
      <c r="D32" s="3" t="s">
        <v>85</v>
      </c>
      <c r="E32" s="3" t="s">
        <v>320</v>
      </c>
      <c r="F32" s="3" t="s">
        <v>321</v>
      </c>
      <c r="G32" s="3" t="s">
        <v>322</v>
      </c>
      <c r="H32" s="15" t="n">
        <v>0.5</v>
      </c>
      <c r="I32" s="15" t="n">
        <v>0</v>
      </c>
      <c r="J32" s="3" t="s">
        <v>53</v>
      </c>
      <c r="K32" s="3" t="s">
        <v>323</v>
      </c>
      <c r="L32" s="3" t="s">
        <v>324</v>
      </c>
      <c r="M32" s="3" t="s">
        <v>234</v>
      </c>
      <c r="N32" s="3" t="s">
        <v>325</v>
      </c>
      <c r="O32" s="3" t="s">
        <v>93</v>
      </c>
      <c r="P32" s="16"/>
    </row>
    <row r="33" customFormat="false" ht="46.25" hidden="false" customHeight="false" outlineLevel="0" collapsed="false">
      <c r="A33" s="14" t="s">
        <v>326</v>
      </c>
      <c r="B33" s="3" t="s">
        <v>319</v>
      </c>
      <c r="C33" s="3" t="s">
        <v>71</v>
      </c>
      <c r="D33" s="3" t="s">
        <v>85</v>
      </c>
      <c r="E33" s="3" t="s">
        <v>327</v>
      </c>
      <c r="F33" s="3" t="s">
        <v>328</v>
      </c>
      <c r="G33" s="3" t="s">
        <v>329</v>
      </c>
      <c r="H33" s="15" t="n">
        <v>3</v>
      </c>
      <c r="I33" s="15" t="n">
        <v>0</v>
      </c>
      <c r="J33" s="3" t="s">
        <v>53</v>
      </c>
      <c r="K33" s="3" t="s">
        <v>323</v>
      </c>
      <c r="L33" s="3" t="s">
        <v>130</v>
      </c>
      <c r="M33" s="3" t="s">
        <v>330</v>
      </c>
      <c r="N33" s="3" t="s">
        <v>331</v>
      </c>
      <c r="O33" s="3" t="s">
        <v>93</v>
      </c>
      <c r="P33" s="16"/>
    </row>
    <row r="34" customFormat="false" ht="23.85" hidden="false" customHeight="false" outlineLevel="0" collapsed="false">
      <c r="A34" s="14" t="s">
        <v>332</v>
      </c>
      <c r="B34" s="3" t="s">
        <v>319</v>
      </c>
      <c r="C34" s="3" t="s">
        <v>71</v>
      </c>
      <c r="D34" s="3" t="s">
        <v>85</v>
      </c>
      <c r="E34" s="3" t="s">
        <v>333</v>
      </c>
      <c r="F34" s="3" t="s">
        <v>334</v>
      </c>
      <c r="G34" s="3" t="s">
        <v>335</v>
      </c>
      <c r="H34" s="15" t="n">
        <v>1</v>
      </c>
      <c r="I34" s="15" t="n">
        <v>0</v>
      </c>
      <c r="J34" s="3" t="s">
        <v>53</v>
      </c>
      <c r="K34" s="3" t="s">
        <v>323</v>
      </c>
      <c r="L34" s="3" t="s">
        <v>122</v>
      </c>
      <c r="M34" s="3" t="s">
        <v>326</v>
      </c>
      <c r="N34" s="3" t="s">
        <v>336</v>
      </c>
      <c r="O34" s="3" t="s">
        <v>93</v>
      </c>
      <c r="P34" s="16"/>
    </row>
    <row r="35" customFormat="false" ht="23.85" hidden="false" customHeight="false" outlineLevel="0" collapsed="false">
      <c r="A35" s="14" t="s">
        <v>337</v>
      </c>
      <c r="B35" s="3" t="s">
        <v>338</v>
      </c>
      <c r="C35" s="3" t="s">
        <v>71</v>
      </c>
      <c r="D35" s="3" t="s">
        <v>85</v>
      </c>
      <c r="E35" s="3" t="s">
        <v>339</v>
      </c>
      <c r="F35" s="3" t="s">
        <v>340</v>
      </c>
      <c r="G35" s="3" t="s">
        <v>341</v>
      </c>
      <c r="H35" s="15" t="n">
        <v>1</v>
      </c>
      <c r="I35" s="15" t="n">
        <v>0</v>
      </c>
      <c r="J35" s="3" t="s">
        <v>53</v>
      </c>
      <c r="K35" s="3" t="s">
        <v>323</v>
      </c>
      <c r="L35" s="3" t="s">
        <v>122</v>
      </c>
      <c r="M35" s="3" t="s">
        <v>116</v>
      </c>
      <c r="N35" s="3" t="s">
        <v>342</v>
      </c>
      <c r="O35" s="3" t="s">
        <v>93</v>
      </c>
      <c r="P35" s="16"/>
    </row>
    <row r="36" customFormat="false" ht="23.85" hidden="false" customHeight="false" outlineLevel="0" collapsed="false">
      <c r="A36" s="14" t="s">
        <v>343</v>
      </c>
      <c r="B36" s="3" t="s">
        <v>344</v>
      </c>
      <c r="C36" s="3" t="s">
        <v>71</v>
      </c>
      <c r="D36" s="3" t="s">
        <v>84</v>
      </c>
      <c r="E36" s="3" t="s">
        <v>345</v>
      </c>
      <c r="F36" s="3" t="s">
        <v>346</v>
      </c>
      <c r="G36" s="3" t="s">
        <v>347</v>
      </c>
      <c r="H36" s="15" t="n">
        <v>2</v>
      </c>
      <c r="I36" s="15" t="n">
        <v>0</v>
      </c>
      <c r="J36" s="3" t="s">
        <v>53</v>
      </c>
      <c r="K36" s="3" t="s">
        <v>323</v>
      </c>
      <c r="L36" s="3" t="s">
        <v>130</v>
      </c>
      <c r="M36" s="3" t="s">
        <v>116</v>
      </c>
      <c r="N36" s="3" t="s">
        <v>348</v>
      </c>
      <c r="O36" s="3" t="s">
        <v>93</v>
      </c>
      <c r="P36" s="16"/>
    </row>
    <row r="37" customFormat="false" ht="35.05" hidden="false" customHeight="false" outlineLevel="0" collapsed="false">
      <c r="A37" s="14" t="s">
        <v>349</v>
      </c>
      <c r="B37" s="3" t="s">
        <v>350</v>
      </c>
      <c r="C37" s="3" t="s">
        <v>71</v>
      </c>
      <c r="D37" s="3" t="s">
        <v>86</v>
      </c>
      <c r="E37" s="3" t="s">
        <v>351</v>
      </c>
      <c r="F37" s="3" t="s">
        <v>352</v>
      </c>
      <c r="G37" s="3" t="s">
        <v>353</v>
      </c>
      <c r="H37" s="15" t="n">
        <v>2.5</v>
      </c>
      <c r="I37" s="15" t="n">
        <v>0</v>
      </c>
      <c r="J37" s="3" t="s">
        <v>53</v>
      </c>
      <c r="K37" s="3" t="s">
        <v>323</v>
      </c>
      <c r="L37" s="3" t="s">
        <v>130</v>
      </c>
      <c r="M37" s="3" t="s">
        <v>332</v>
      </c>
      <c r="N37" s="3" t="s">
        <v>354</v>
      </c>
      <c r="O37" s="3" t="s">
        <v>93</v>
      </c>
      <c r="P37" s="16"/>
    </row>
    <row r="38" customFormat="false" ht="23.85" hidden="false" customHeight="false" outlineLevel="0" collapsed="false">
      <c r="A38" s="14" t="s">
        <v>355</v>
      </c>
      <c r="B38" s="3" t="s">
        <v>356</v>
      </c>
      <c r="C38" s="3" t="s">
        <v>71</v>
      </c>
      <c r="D38" s="3" t="s">
        <v>86</v>
      </c>
      <c r="E38" s="3" t="s">
        <v>357</v>
      </c>
      <c r="F38" s="3" t="s">
        <v>358</v>
      </c>
      <c r="G38" s="3" t="s">
        <v>359</v>
      </c>
      <c r="H38" s="15" t="n">
        <v>3</v>
      </c>
      <c r="I38" s="15" t="n">
        <v>0</v>
      </c>
      <c r="J38" s="3" t="s">
        <v>53</v>
      </c>
      <c r="K38" s="3" t="s">
        <v>360</v>
      </c>
      <c r="L38" s="3" t="s">
        <v>130</v>
      </c>
      <c r="M38" s="3" t="s">
        <v>349</v>
      </c>
      <c r="N38" s="3" t="s">
        <v>361</v>
      </c>
      <c r="O38" s="3" t="s">
        <v>93</v>
      </c>
      <c r="P38" s="16"/>
    </row>
    <row r="39" customFormat="false" ht="35.05" hidden="false" customHeight="false" outlineLevel="0" collapsed="false">
      <c r="A39" s="14" t="s">
        <v>362</v>
      </c>
      <c r="B39" s="3" t="s">
        <v>350</v>
      </c>
      <c r="C39" s="3" t="s">
        <v>71</v>
      </c>
      <c r="D39" s="3" t="s">
        <v>86</v>
      </c>
      <c r="E39" s="3" t="s">
        <v>363</v>
      </c>
      <c r="F39" s="3" t="s">
        <v>364</v>
      </c>
      <c r="G39" s="3" t="s">
        <v>365</v>
      </c>
      <c r="H39" s="15" t="n">
        <v>1.5</v>
      </c>
      <c r="I39" s="15" t="n">
        <v>0</v>
      </c>
      <c r="J39" s="3" t="s">
        <v>53</v>
      </c>
      <c r="K39" s="3" t="s">
        <v>360</v>
      </c>
      <c r="L39" s="3" t="s">
        <v>114</v>
      </c>
      <c r="M39" s="3" t="s">
        <v>366</v>
      </c>
      <c r="N39" s="3" t="s">
        <v>367</v>
      </c>
      <c r="O39" s="3" t="s">
        <v>93</v>
      </c>
      <c r="P39" s="16"/>
    </row>
    <row r="40" customFormat="false" ht="23.85" hidden="false" customHeight="false" outlineLevel="0" collapsed="false">
      <c r="A40" s="14" t="s">
        <v>368</v>
      </c>
      <c r="B40" s="3" t="s">
        <v>369</v>
      </c>
      <c r="C40" s="3" t="s">
        <v>72</v>
      </c>
      <c r="D40" s="3" t="s">
        <v>87</v>
      </c>
      <c r="E40" s="3" t="s">
        <v>370</v>
      </c>
      <c r="F40" s="3" t="s">
        <v>371</v>
      </c>
      <c r="G40" s="3" t="s">
        <v>372</v>
      </c>
      <c r="H40" s="15" t="n">
        <v>1</v>
      </c>
      <c r="I40" s="15" t="n">
        <v>0</v>
      </c>
      <c r="J40" s="3" t="s">
        <v>53</v>
      </c>
      <c r="K40" s="3" t="s">
        <v>360</v>
      </c>
      <c r="L40" s="3" t="s">
        <v>130</v>
      </c>
      <c r="M40" s="3" t="s">
        <v>326</v>
      </c>
      <c r="N40" s="3" t="s">
        <v>373</v>
      </c>
      <c r="O40" s="3" t="s">
        <v>93</v>
      </c>
      <c r="P40" s="16"/>
    </row>
    <row r="41" customFormat="false" ht="23.85" hidden="false" customHeight="false" outlineLevel="0" collapsed="false">
      <c r="A41" s="14" t="s">
        <v>374</v>
      </c>
      <c r="B41" s="3" t="s">
        <v>375</v>
      </c>
      <c r="C41" s="3" t="s">
        <v>72</v>
      </c>
      <c r="D41" s="3" t="s">
        <v>87</v>
      </c>
      <c r="E41" s="3" t="s">
        <v>376</v>
      </c>
      <c r="F41" s="3" t="s">
        <v>377</v>
      </c>
      <c r="G41" s="3" t="s">
        <v>378</v>
      </c>
      <c r="H41" s="15" t="n">
        <v>1.5</v>
      </c>
      <c r="I41" s="15" t="n">
        <v>0</v>
      </c>
      <c r="J41" s="3" t="s">
        <v>53</v>
      </c>
      <c r="K41" s="3" t="s">
        <v>360</v>
      </c>
      <c r="L41" s="3" t="s">
        <v>114</v>
      </c>
      <c r="M41" s="3" t="s">
        <v>379</v>
      </c>
      <c r="N41" s="3" t="s">
        <v>380</v>
      </c>
      <c r="O41" s="3" t="s">
        <v>93</v>
      </c>
      <c r="P41" s="16"/>
    </row>
    <row r="42" customFormat="false" ht="35.05" hidden="false" customHeight="false" outlineLevel="0" collapsed="false">
      <c r="A42" s="14" t="s">
        <v>381</v>
      </c>
      <c r="B42" s="3" t="s">
        <v>338</v>
      </c>
      <c r="C42" s="3" t="s">
        <v>71</v>
      </c>
      <c r="D42" s="3" t="s">
        <v>83</v>
      </c>
      <c r="E42" s="3" t="s">
        <v>382</v>
      </c>
      <c r="F42" s="3" t="s">
        <v>383</v>
      </c>
      <c r="G42" s="3" t="s">
        <v>384</v>
      </c>
      <c r="H42" s="15" t="n">
        <v>2</v>
      </c>
      <c r="I42" s="15" t="n">
        <v>0</v>
      </c>
      <c r="J42" s="3" t="s">
        <v>53</v>
      </c>
      <c r="K42" s="3" t="s">
        <v>360</v>
      </c>
      <c r="L42" s="3" t="s">
        <v>114</v>
      </c>
      <c r="M42" s="3" t="s">
        <v>385</v>
      </c>
      <c r="N42" s="3" t="s">
        <v>386</v>
      </c>
      <c r="O42" s="3" t="s">
        <v>93</v>
      </c>
      <c r="P42" s="16"/>
    </row>
    <row r="43" customFormat="false" ht="35.05" hidden="false" customHeight="false" outlineLevel="0" collapsed="false">
      <c r="A43" s="14" t="s">
        <v>387</v>
      </c>
      <c r="B43" s="3" t="s">
        <v>388</v>
      </c>
      <c r="C43" s="3" t="s">
        <v>71</v>
      </c>
      <c r="D43" s="3" t="s">
        <v>88</v>
      </c>
      <c r="E43" s="3" t="s">
        <v>389</v>
      </c>
      <c r="F43" s="3" t="s">
        <v>390</v>
      </c>
      <c r="G43" s="3" t="s">
        <v>391</v>
      </c>
      <c r="H43" s="15" t="n">
        <v>3</v>
      </c>
      <c r="I43" s="15" t="n">
        <v>0</v>
      </c>
      <c r="J43" s="3" t="s">
        <v>54</v>
      </c>
      <c r="K43" s="3" t="s">
        <v>392</v>
      </c>
      <c r="L43" s="3" t="s">
        <v>130</v>
      </c>
      <c r="M43" s="3" t="s">
        <v>393</v>
      </c>
      <c r="N43" s="3" t="s">
        <v>394</v>
      </c>
      <c r="O43" s="3" t="s">
        <v>93</v>
      </c>
      <c r="P43" s="16"/>
    </row>
    <row r="44" customFormat="false" ht="35.05" hidden="false" customHeight="false" outlineLevel="0" collapsed="false">
      <c r="A44" s="14" t="s">
        <v>395</v>
      </c>
      <c r="B44" s="3" t="s">
        <v>388</v>
      </c>
      <c r="C44" s="3" t="s">
        <v>71</v>
      </c>
      <c r="D44" s="3" t="s">
        <v>88</v>
      </c>
      <c r="E44" s="3" t="s">
        <v>396</v>
      </c>
      <c r="F44" s="3" t="s">
        <v>397</v>
      </c>
      <c r="G44" s="3" t="s">
        <v>398</v>
      </c>
      <c r="H44" s="15" t="n">
        <v>2</v>
      </c>
      <c r="I44" s="15" t="n">
        <v>0</v>
      </c>
      <c r="J44" s="3" t="s">
        <v>54</v>
      </c>
      <c r="K44" s="3" t="s">
        <v>392</v>
      </c>
      <c r="L44" s="3" t="s">
        <v>130</v>
      </c>
      <c r="M44" s="3" t="s">
        <v>399</v>
      </c>
      <c r="N44" s="3" t="s">
        <v>400</v>
      </c>
      <c r="O44" s="3" t="s">
        <v>93</v>
      </c>
      <c r="P44" s="16"/>
    </row>
    <row r="45" customFormat="false" ht="23.85" hidden="false" customHeight="false" outlineLevel="0" collapsed="false">
      <c r="A45" s="14" t="s">
        <v>401</v>
      </c>
      <c r="B45" s="3" t="s">
        <v>388</v>
      </c>
      <c r="C45" s="3" t="s">
        <v>71</v>
      </c>
      <c r="D45" s="3" t="s">
        <v>88</v>
      </c>
      <c r="E45" s="3" t="s">
        <v>402</v>
      </c>
      <c r="F45" s="3" t="s">
        <v>403</v>
      </c>
      <c r="G45" s="3" t="s">
        <v>404</v>
      </c>
      <c r="H45" s="15" t="n">
        <v>1</v>
      </c>
      <c r="I45" s="15" t="n">
        <v>0</v>
      </c>
      <c r="J45" s="3" t="s">
        <v>54</v>
      </c>
      <c r="K45" s="3" t="s">
        <v>392</v>
      </c>
      <c r="L45" s="3" t="s">
        <v>114</v>
      </c>
      <c r="M45" s="3" t="s">
        <v>405</v>
      </c>
      <c r="N45" s="3" t="s">
        <v>406</v>
      </c>
      <c r="O45" s="3" t="s">
        <v>93</v>
      </c>
      <c r="P45" s="16"/>
    </row>
    <row r="46" customFormat="false" ht="23.85" hidden="false" customHeight="false" outlineLevel="0" collapsed="false">
      <c r="A46" s="14" t="s">
        <v>407</v>
      </c>
      <c r="B46" s="3" t="s">
        <v>338</v>
      </c>
      <c r="C46" s="3" t="s">
        <v>71</v>
      </c>
      <c r="D46" s="3" t="s">
        <v>83</v>
      </c>
      <c r="E46" s="3" t="s">
        <v>408</v>
      </c>
      <c r="F46" s="3" t="s">
        <v>409</v>
      </c>
      <c r="G46" s="3" t="s">
        <v>410</v>
      </c>
      <c r="H46" s="15" t="n">
        <v>2</v>
      </c>
      <c r="I46" s="15" t="n">
        <v>0</v>
      </c>
      <c r="J46" s="3" t="s">
        <v>54</v>
      </c>
      <c r="K46" s="3" t="s">
        <v>392</v>
      </c>
      <c r="L46" s="3" t="s">
        <v>411</v>
      </c>
      <c r="M46" s="3" t="s">
        <v>412</v>
      </c>
      <c r="N46" s="3" t="s">
        <v>413</v>
      </c>
      <c r="O46" s="3" t="s">
        <v>93</v>
      </c>
      <c r="P46" s="16"/>
    </row>
    <row r="47" customFormat="false" ht="35.05" hidden="false" customHeight="false" outlineLevel="0" collapsed="false">
      <c r="A47" s="14" t="s">
        <v>414</v>
      </c>
      <c r="B47" s="3" t="s">
        <v>415</v>
      </c>
      <c r="C47" s="3" t="s">
        <v>71</v>
      </c>
      <c r="D47" s="3" t="s">
        <v>89</v>
      </c>
      <c r="E47" s="3" t="s">
        <v>416</v>
      </c>
      <c r="F47" s="3" t="s">
        <v>417</v>
      </c>
      <c r="G47" s="3" t="s">
        <v>418</v>
      </c>
      <c r="H47" s="15" t="n">
        <v>3</v>
      </c>
      <c r="I47" s="15" t="n">
        <v>0</v>
      </c>
      <c r="J47" s="3" t="s">
        <v>54</v>
      </c>
      <c r="K47" s="3" t="s">
        <v>419</v>
      </c>
      <c r="L47" s="3" t="s">
        <v>114</v>
      </c>
      <c r="M47" s="3" t="s">
        <v>420</v>
      </c>
      <c r="N47" s="3" t="s">
        <v>421</v>
      </c>
      <c r="O47" s="3" t="s">
        <v>93</v>
      </c>
      <c r="P47" s="16"/>
    </row>
    <row r="48" customFormat="false" ht="23.85" hidden="false" customHeight="false" outlineLevel="0" collapsed="false">
      <c r="A48" s="14" t="s">
        <v>422</v>
      </c>
      <c r="B48" s="3" t="s">
        <v>338</v>
      </c>
      <c r="C48" s="3" t="s">
        <v>71</v>
      </c>
      <c r="D48" s="3" t="s">
        <v>83</v>
      </c>
      <c r="E48" s="3" t="s">
        <v>423</v>
      </c>
      <c r="F48" s="3" t="s">
        <v>424</v>
      </c>
      <c r="G48" s="3" t="s">
        <v>425</v>
      </c>
      <c r="H48" s="15" t="n">
        <v>1</v>
      </c>
      <c r="I48" s="15" t="n">
        <v>0</v>
      </c>
      <c r="J48" s="3" t="s">
        <v>54</v>
      </c>
      <c r="K48" s="3" t="s">
        <v>426</v>
      </c>
      <c r="L48" s="3" t="s">
        <v>427</v>
      </c>
      <c r="M48" s="3" t="s">
        <v>428</v>
      </c>
      <c r="N48" s="3" t="s">
        <v>429</v>
      </c>
      <c r="O48" s="3" t="s">
        <v>93</v>
      </c>
      <c r="P48" s="16"/>
    </row>
    <row r="49" customFormat="false" ht="23.85" hidden="false" customHeight="false" outlineLevel="0" collapsed="false">
      <c r="A49" s="14" t="s">
        <v>430</v>
      </c>
      <c r="B49" s="3" t="s">
        <v>431</v>
      </c>
      <c r="C49" s="3" t="s">
        <v>71</v>
      </c>
      <c r="D49" s="3" t="s">
        <v>83</v>
      </c>
      <c r="E49" s="3" t="s">
        <v>432</v>
      </c>
      <c r="F49" s="3" t="s">
        <v>433</v>
      </c>
      <c r="G49" s="3" t="s">
        <v>434</v>
      </c>
      <c r="H49" s="15" t="n">
        <v>2</v>
      </c>
      <c r="I49" s="15" t="n">
        <v>0</v>
      </c>
      <c r="J49" s="3" t="s">
        <v>54</v>
      </c>
      <c r="K49" s="3" t="s">
        <v>426</v>
      </c>
      <c r="L49" s="3" t="s">
        <v>324</v>
      </c>
      <c r="M49" s="3" t="s">
        <v>74</v>
      </c>
      <c r="N49" s="3" t="s">
        <v>302</v>
      </c>
      <c r="O49" s="3" t="s">
        <v>93</v>
      </c>
      <c r="P49" s="16"/>
    </row>
    <row r="50" customFormat="false" ht="23.85" hidden="false" customHeight="false" outlineLevel="0" collapsed="false">
      <c r="A50" s="14" t="s">
        <v>435</v>
      </c>
      <c r="B50" s="3" t="s">
        <v>436</v>
      </c>
      <c r="C50" s="3" t="s">
        <v>71</v>
      </c>
      <c r="D50" s="3" t="s">
        <v>89</v>
      </c>
      <c r="E50" s="3" t="s">
        <v>437</v>
      </c>
      <c r="F50" s="3" t="s">
        <v>438</v>
      </c>
      <c r="G50" s="3" t="s">
        <v>439</v>
      </c>
      <c r="H50" s="15" t="n">
        <v>0</v>
      </c>
      <c r="I50" s="15" t="n">
        <v>0</v>
      </c>
      <c r="J50" s="3" t="s">
        <v>54</v>
      </c>
      <c r="K50" s="3" t="s">
        <v>440</v>
      </c>
      <c r="L50" s="3" t="s">
        <v>441</v>
      </c>
      <c r="M50" s="3" t="s">
        <v>442</v>
      </c>
      <c r="N50" s="3" t="s">
        <v>443</v>
      </c>
      <c r="O50" s="3" t="s">
        <v>93</v>
      </c>
      <c r="P50" s="16"/>
    </row>
    <row r="51" customFormat="false" ht="23.85" hidden="false" customHeight="false" outlineLevel="0" collapsed="false">
      <c r="A51" s="14" t="s">
        <v>444</v>
      </c>
      <c r="B51" s="3" t="s">
        <v>445</v>
      </c>
      <c r="C51" s="3" t="s">
        <v>73</v>
      </c>
      <c r="D51" s="3" t="s">
        <v>90</v>
      </c>
      <c r="E51" s="3" t="s">
        <v>446</v>
      </c>
      <c r="F51" s="3" t="s">
        <v>447</v>
      </c>
      <c r="G51" s="3" t="s">
        <v>74</v>
      </c>
      <c r="H51" s="15" t="n">
        <v>0</v>
      </c>
      <c r="I51" s="15" t="n">
        <v>0</v>
      </c>
      <c r="J51" s="3" t="s">
        <v>56</v>
      </c>
      <c r="K51" s="3" t="s">
        <v>74</v>
      </c>
      <c r="L51" s="3" t="s">
        <v>74</v>
      </c>
      <c r="M51" s="3" t="s">
        <v>74</v>
      </c>
      <c r="N51" s="3" t="s">
        <v>448</v>
      </c>
      <c r="O51" s="3" t="s">
        <v>74</v>
      </c>
      <c r="P51" s="16"/>
    </row>
    <row r="52" customFormat="false" ht="23.85" hidden="false" customHeight="false" outlineLevel="0" collapsed="false">
      <c r="A52" s="14" t="s">
        <v>449</v>
      </c>
      <c r="B52" s="3" t="s">
        <v>445</v>
      </c>
      <c r="C52" s="3" t="s">
        <v>73</v>
      </c>
      <c r="D52" s="3" t="s">
        <v>90</v>
      </c>
      <c r="E52" s="3" t="s">
        <v>450</v>
      </c>
      <c r="F52" s="3" t="s">
        <v>451</v>
      </c>
      <c r="G52" s="3" t="s">
        <v>74</v>
      </c>
      <c r="H52" s="15" t="n">
        <v>0</v>
      </c>
      <c r="I52" s="15" t="n">
        <v>0</v>
      </c>
      <c r="J52" s="3" t="s">
        <v>56</v>
      </c>
      <c r="K52" s="3" t="s">
        <v>74</v>
      </c>
      <c r="L52" s="3" t="s">
        <v>74</v>
      </c>
      <c r="M52" s="3" t="s">
        <v>74</v>
      </c>
      <c r="N52" s="3" t="s">
        <v>452</v>
      </c>
      <c r="O52" s="3" t="s">
        <v>74</v>
      </c>
      <c r="P52" s="16"/>
    </row>
    <row r="53" customFormat="false" ht="15" hidden="false" customHeight="false" outlineLevel="0" collapsed="false">
      <c r="A53" s="14" t="s">
        <v>453</v>
      </c>
      <c r="B53" s="3" t="s">
        <v>445</v>
      </c>
      <c r="C53" s="3" t="s">
        <v>73</v>
      </c>
      <c r="D53" s="3" t="s">
        <v>90</v>
      </c>
      <c r="E53" s="3" t="s">
        <v>454</v>
      </c>
      <c r="F53" s="3" t="s">
        <v>455</v>
      </c>
      <c r="G53" s="3" t="s">
        <v>74</v>
      </c>
      <c r="H53" s="15" t="n">
        <v>0</v>
      </c>
      <c r="I53" s="15" t="n">
        <v>0</v>
      </c>
      <c r="J53" s="3" t="s">
        <v>56</v>
      </c>
      <c r="K53" s="3" t="s">
        <v>74</v>
      </c>
      <c r="L53" s="3" t="s">
        <v>74</v>
      </c>
      <c r="M53" s="3" t="s">
        <v>74</v>
      </c>
      <c r="N53" s="3" t="s">
        <v>456</v>
      </c>
      <c r="O53" s="3" t="s">
        <v>74</v>
      </c>
      <c r="P53" s="16"/>
    </row>
    <row r="54" customFormat="false" ht="15" hidden="false" customHeight="false" outlineLevel="0" collapsed="false">
      <c r="A54" s="14" t="s">
        <v>457</v>
      </c>
      <c r="B54" s="3" t="s">
        <v>445</v>
      </c>
      <c r="C54" s="3" t="s">
        <v>73</v>
      </c>
      <c r="D54" s="3" t="s">
        <v>90</v>
      </c>
      <c r="E54" s="3" t="s">
        <v>458</v>
      </c>
      <c r="F54" s="3" t="s">
        <v>459</v>
      </c>
      <c r="G54" s="3" t="s">
        <v>74</v>
      </c>
      <c r="H54" s="15" t="n">
        <v>0</v>
      </c>
      <c r="I54" s="15" t="n">
        <v>0</v>
      </c>
      <c r="J54" s="3" t="s">
        <v>56</v>
      </c>
      <c r="K54" s="3" t="s">
        <v>74</v>
      </c>
      <c r="L54" s="3" t="s">
        <v>74</v>
      </c>
      <c r="M54" s="3" t="s">
        <v>74</v>
      </c>
      <c r="N54" s="3" t="s">
        <v>460</v>
      </c>
      <c r="O54" s="3" t="s">
        <v>74</v>
      </c>
      <c r="P54" s="16"/>
    </row>
    <row r="55" customFormat="false" ht="15" hidden="false" customHeight="false" outlineLevel="0" collapsed="false">
      <c r="A55" s="14" t="s">
        <v>461</v>
      </c>
      <c r="B55" s="3" t="s">
        <v>445</v>
      </c>
      <c r="C55" s="3" t="s">
        <v>73</v>
      </c>
      <c r="D55" s="3" t="s">
        <v>90</v>
      </c>
      <c r="E55" s="3" t="s">
        <v>462</v>
      </c>
      <c r="F55" s="3" t="s">
        <v>463</v>
      </c>
      <c r="G55" s="3" t="s">
        <v>74</v>
      </c>
      <c r="H55" s="15" t="n">
        <v>0</v>
      </c>
      <c r="I55" s="15" t="n">
        <v>0</v>
      </c>
      <c r="J55" s="3" t="s">
        <v>56</v>
      </c>
      <c r="K55" s="3" t="s">
        <v>74</v>
      </c>
      <c r="L55" s="3" t="s">
        <v>74</v>
      </c>
      <c r="M55" s="3" t="s">
        <v>74</v>
      </c>
      <c r="N55" s="3" t="s">
        <v>464</v>
      </c>
      <c r="O55" s="3" t="s">
        <v>74</v>
      </c>
      <c r="P55" s="16"/>
    </row>
    <row r="56" customFormat="false" ht="23.85" hidden="false" customHeight="false" outlineLevel="0" collapsed="false">
      <c r="A56" s="14" t="s">
        <v>465</v>
      </c>
      <c r="B56" s="3" t="s">
        <v>445</v>
      </c>
      <c r="C56" s="3" t="s">
        <v>73</v>
      </c>
      <c r="D56" s="3" t="s">
        <v>90</v>
      </c>
      <c r="E56" s="3" t="s">
        <v>466</v>
      </c>
      <c r="F56" s="3" t="s">
        <v>455</v>
      </c>
      <c r="G56" s="3" t="s">
        <v>74</v>
      </c>
      <c r="H56" s="15" t="n">
        <v>0</v>
      </c>
      <c r="I56" s="15" t="n">
        <v>0</v>
      </c>
      <c r="J56" s="3" t="s">
        <v>56</v>
      </c>
      <c r="K56" s="3" t="s">
        <v>74</v>
      </c>
      <c r="L56" s="3" t="s">
        <v>74</v>
      </c>
      <c r="M56" s="3" t="s">
        <v>74</v>
      </c>
      <c r="N56" s="3" t="s">
        <v>467</v>
      </c>
      <c r="O56" s="3" t="s">
        <v>74</v>
      </c>
      <c r="P56" s="16"/>
    </row>
    <row r="57" customFormat="false" ht="15" hidden="false" customHeight="false" outlineLevel="0" collapsed="false">
      <c r="A57" s="14" t="s">
        <v>468</v>
      </c>
      <c r="B57" s="3" t="s">
        <v>445</v>
      </c>
      <c r="C57" s="3" t="s">
        <v>73</v>
      </c>
      <c r="D57" s="3" t="s">
        <v>90</v>
      </c>
      <c r="E57" s="3" t="s">
        <v>469</v>
      </c>
      <c r="F57" s="3" t="s">
        <v>470</v>
      </c>
      <c r="G57" s="3" t="s">
        <v>74</v>
      </c>
      <c r="H57" s="15" t="n">
        <v>0</v>
      </c>
      <c r="I57" s="15" t="n">
        <v>0</v>
      </c>
      <c r="J57" s="3" t="s">
        <v>56</v>
      </c>
      <c r="K57" s="3" t="s">
        <v>74</v>
      </c>
      <c r="L57" s="3" t="s">
        <v>74</v>
      </c>
      <c r="M57" s="3" t="s">
        <v>74</v>
      </c>
      <c r="N57" s="3" t="s">
        <v>471</v>
      </c>
      <c r="O57" s="3" t="s">
        <v>74</v>
      </c>
      <c r="P57" s="16"/>
    </row>
    <row r="58" customFormat="false" ht="23.85" hidden="false" customHeight="false" outlineLevel="0" collapsed="false">
      <c r="A58" s="14" t="s">
        <v>472</v>
      </c>
      <c r="B58" s="3" t="s">
        <v>74</v>
      </c>
      <c r="C58" s="3" t="s">
        <v>74</v>
      </c>
      <c r="D58" s="3" t="s">
        <v>90</v>
      </c>
      <c r="E58" s="3" t="s">
        <v>473</v>
      </c>
      <c r="F58" s="3" t="s">
        <v>474</v>
      </c>
      <c r="G58" s="3" t="s">
        <v>74</v>
      </c>
      <c r="H58" s="15" t="n">
        <v>0</v>
      </c>
      <c r="I58" s="15" t="n">
        <v>0</v>
      </c>
      <c r="J58" s="3" t="s">
        <v>55</v>
      </c>
      <c r="K58" s="3" t="s">
        <v>74</v>
      </c>
      <c r="L58" s="3" t="s">
        <v>74</v>
      </c>
      <c r="M58" s="3" t="s">
        <v>74</v>
      </c>
      <c r="N58" s="3" t="s">
        <v>475</v>
      </c>
      <c r="O58" s="3" t="s">
        <v>74</v>
      </c>
      <c r="P58" s="16"/>
    </row>
  </sheetData>
  <autoFilter ref="A1:P58"/>
  <conditionalFormatting sqref="A2:P58">
    <cfRule type="expression" priority="2" aboveAverage="0" equalAverage="0" bottom="0" percent="0" rank="0" text="" dxfId="4">
      <formula>$O2="Xong"</formula>
    </cfRule>
    <cfRule type="expression" priority="3" aboveAverage="0" equalAverage="0" bottom="0" percent="0" rank="0" text="" dxfId="5">
      <formula>$O2="Tắc"</formula>
    </cfRule>
    <cfRule type="expression" priority="4" aboveAverage="0" equalAverage="0" bottom="0" percent="0" rank="0" text="" dxfId="6">
      <formula>$O2="Đang làm"</formula>
    </cfRule>
  </conditionalFormatting>
  <dataValidations count="3">
    <dataValidation allowBlank="true" errorStyle="stop" operator="between" showDropDown="false" showErrorMessage="false" showInputMessage="false" sqref="C2:C58" type="list">
      <formula1>"P0,P1,P2,—"</formula1>
      <formula2>0</formula2>
    </dataValidation>
    <dataValidation allowBlank="true" errorStyle="stop" operator="between" showDropDown="false" showErrorMessage="false" showInputMessage="false" sqref="J2:J58" type="list">
      <formula1>"GĐ1 · T1–2 · 29/9–12/10,GĐ2 · T3–4 · 13/10–26/10,GĐ3 · T5–6 · 27/10–9/11,GĐ4 · T7–8 · 10/11–23/11,GĐ5 · T9–10 · 24/11–7/12,GĐ6 · T11–12 · 8/12–21/12,Sau MVP,Không làm (P2)"</formula1>
      <formula2>0</formula2>
    </dataValidation>
    <dataValidation allowBlank="true" errorStyle="stop" operator="between" showDropDown="false" showErrorMessage="false" showInputMessage="false" sqref="O2:O58" type="list">
      <formula1>"Chưa bắt đầu,Đang làm,Xong,Tắc,—"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60"/>
    <col collapsed="false" customWidth="true" hidden="false" outlineLevel="0" max="4" min="4" style="0" width="44"/>
    <col collapsed="false" customWidth="true" hidden="false" outlineLevel="0" max="5" min="5" style="0" width="14"/>
    <col collapsed="false" customWidth="true" hidden="false" outlineLevel="0" max="6" min="6" style="0" width="34"/>
  </cols>
  <sheetData>
    <row r="1" customFormat="false" ht="15" hidden="false" customHeight="false" outlineLevel="0" collapsed="false">
      <c r="A1" s="5" t="s">
        <v>476</v>
      </c>
      <c r="B1" s="5" t="s">
        <v>477</v>
      </c>
      <c r="C1" s="5" t="s">
        <v>478</v>
      </c>
      <c r="D1" s="5" t="s">
        <v>479</v>
      </c>
      <c r="E1" s="5" t="s">
        <v>480</v>
      </c>
      <c r="F1" s="5" t="s">
        <v>481</v>
      </c>
    </row>
    <row r="2" customFormat="false" ht="23.85" hidden="false" customHeight="false" outlineLevel="0" collapsed="false">
      <c r="A2" s="14" t="s">
        <v>482</v>
      </c>
      <c r="B2" s="3" t="s">
        <v>483</v>
      </c>
      <c r="C2" s="3" t="s">
        <v>484</v>
      </c>
      <c r="D2" s="3" t="s">
        <v>485</v>
      </c>
      <c r="E2" s="3" t="s">
        <v>486</v>
      </c>
      <c r="F2" s="3" t="s">
        <v>487</v>
      </c>
    </row>
    <row r="3" customFormat="false" ht="46.25" hidden="false" customHeight="false" outlineLevel="0" collapsed="false">
      <c r="A3" s="14" t="s">
        <v>488</v>
      </c>
      <c r="B3" s="3" t="s">
        <v>489</v>
      </c>
      <c r="C3" s="3" t="s">
        <v>490</v>
      </c>
      <c r="D3" s="3" t="s">
        <v>491</v>
      </c>
      <c r="E3" s="3" t="s">
        <v>492</v>
      </c>
      <c r="F3" s="3" t="s">
        <v>493</v>
      </c>
    </row>
    <row r="4" customFormat="false" ht="35.05" hidden="false" customHeight="false" outlineLevel="0" collapsed="false">
      <c r="A4" s="14" t="s">
        <v>494</v>
      </c>
      <c r="B4" s="3" t="s">
        <v>495</v>
      </c>
      <c r="C4" s="3" t="s">
        <v>496</v>
      </c>
      <c r="D4" s="3" t="s">
        <v>497</v>
      </c>
      <c r="E4" s="3" t="s">
        <v>176</v>
      </c>
      <c r="F4" s="3" t="s">
        <v>498</v>
      </c>
    </row>
    <row r="5" customFormat="false" ht="46.25" hidden="false" customHeight="false" outlineLevel="0" collapsed="false">
      <c r="A5" s="14" t="s">
        <v>499</v>
      </c>
      <c r="B5" s="3" t="s">
        <v>500</v>
      </c>
      <c r="C5" s="3" t="s">
        <v>501</v>
      </c>
      <c r="D5" s="3" t="s">
        <v>502</v>
      </c>
      <c r="E5" s="3" t="s">
        <v>205</v>
      </c>
      <c r="F5" s="3" t="s">
        <v>503</v>
      </c>
    </row>
    <row r="6" customFormat="false" ht="23.85" hidden="false" customHeight="false" outlineLevel="0" collapsed="false">
      <c r="A6" s="14" t="s">
        <v>504</v>
      </c>
      <c r="B6" s="3" t="s">
        <v>505</v>
      </c>
      <c r="C6" s="3" t="s">
        <v>506</v>
      </c>
      <c r="D6" s="3" t="s">
        <v>507</v>
      </c>
      <c r="E6" s="3" t="s">
        <v>262</v>
      </c>
      <c r="F6" s="3" t="s">
        <v>503</v>
      </c>
    </row>
    <row r="7" customFormat="false" ht="35.05" hidden="false" customHeight="false" outlineLevel="0" collapsed="false">
      <c r="A7" s="14" t="s">
        <v>508</v>
      </c>
      <c r="B7" s="3" t="s">
        <v>509</v>
      </c>
      <c r="C7" s="3" t="s">
        <v>510</v>
      </c>
      <c r="D7" s="3" t="s">
        <v>511</v>
      </c>
      <c r="E7" s="3" t="s">
        <v>512</v>
      </c>
      <c r="F7" s="3" t="s">
        <v>513</v>
      </c>
    </row>
    <row r="8" customFormat="false" ht="46.25" hidden="false" customHeight="false" outlineLevel="0" collapsed="false">
      <c r="A8" s="14" t="s">
        <v>514</v>
      </c>
      <c r="B8" s="3" t="s">
        <v>515</v>
      </c>
      <c r="C8" s="3" t="s">
        <v>516</v>
      </c>
      <c r="D8" s="3" t="s">
        <v>517</v>
      </c>
      <c r="E8" s="3" t="s">
        <v>518</v>
      </c>
      <c r="F8" s="3" t="s">
        <v>519</v>
      </c>
    </row>
    <row r="9" customFormat="false" ht="15" hidden="false" customHeight="false" outlineLevel="0" collapsed="false">
      <c r="A9" s="14" t="s">
        <v>520</v>
      </c>
      <c r="B9" s="3" t="s">
        <v>521</v>
      </c>
      <c r="C9" s="3" t="s">
        <v>522</v>
      </c>
      <c r="D9" s="3" t="s">
        <v>523</v>
      </c>
      <c r="E9" s="3" t="s">
        <v>524</v>
      </c>
      <c r="F9" s="3" t="s">
        <v>503</v>
      </c>
    </row>
    <row r="10" customFormat="false" ht="23.85" hidden="false" customHeight="false" outlineLevel="0" collapsed="false">
      <c r="A10" s="14" t="s">
        <v>525</v>
      </c>
      <c r="B10" s="3" t="s">
        <v>526</v>
      </c>
      <c r="C10" s="3" t="s">
        <v>527</v>
      </c>
      <c r="D10" s="3" t="s">
        <v>528</v>
      </c>
      <c r="E10" s="3" t="s">
        <v>529</v>
      </c>
      <c r="F10" s="3" t="s">
        <v>503</v>
      </c>
    </row>
    <row r="11" customFormat="false" ht="35.05" hidden="false" customHeight="false" outlineLevel="0" collapsed="false">
      <c r="A11" s="14" t="s">
        <v>530</v>
      </c>
      <c r="B11" s="3" t="s">
        <v>531</v>
      </c>
      <c r="C11" s="3" t="s">
        <v>532</v>
      </c>
      <c r="D11" s="3" t="s">
        <v>533</v>
      </c>
      <c r="E11" s="3" t="s">
        <v>534</v>
      </c>
      <c r="F11" s="3" t="s">
        <v>535</v>
      </c>
    </row>
    <row r="12" customFormat="false" ht="23.85" hidden="false" customHeight="false" outlineLevel="0" collapsed="false">
      <c r="A12" s="14" t="s">
        <v>536</v>
      </c>
      <c r="B12" s="3" t="s">
        <v>537</v>
      </c>
      <c r="C12" s="3" t="s">
        <v>538</v>
      </c>
      <c r="D12" s="3" t="s">
        <v>539</v>
      </c>
      <c r="E12" s="3" t="s">
        <v>124</v>
      </c>
      <c r="F12" s="3" t="s">
        <v>540</v>
      </c>
    </row>
    <row r="13" customFormat="false" ht="35.05" hidden="false" customHeight="false" outlineLevel="0" collapsed="false">
      <c r="A13" s="14" t="s">
        <v>541</v>
      </c>
      <c r="B13" s="3" t="s">
        <v>542</v>
      </c>
      <c r="C13" s="3" t="s">
        <v>543</v>
      </c>
      <c r="D13" s="3" t="s">
        <v>544</v>
      </c>
      <c r="E13" s="3" t="s">
        <v>545</v>
      </c>
      <c r="F13" s="3" t="s">
        <v>546</v>
      </c>
    </row>
    <row r="14" customFormat="false" ht="23.85" hidden="false" customHeight="false" outlineLevel="0" collapsed="false">
      <c r="A14" s="14" t="s">
        <v>541</v>
      </c>
      <c r="B14" s="3" t="s">
        <v>547</v>
      </c>
      <c r="C14" s="3" t="s">
        <v>548</v>
      </c>
      <c r="D14" s="3" t="s">
        <v>549</v>
      </c>
      <c r="E14" s="3" t="s">
        <v>550</v>
      </c>
      <c r="F14" s="3" t="s">
        <v>503</v>
      </c>
    </row>
    <row r="15" customFormat="false" ht="23.85" hidden="false" customHeight="false" outlineLevel="0" collapsed="false">
      <c r="A15" s="14" t="s">
        <v>541</v>
      </c>
      <c r="B15" s="3" t="s">
        <v>551</v>
      </c>
      <c r="C15" s="3" t="s">
        <v>552</v>
      </c>
      <c r="D15" s="3" t="s">
        <v>553</v>
      </c>
      <c r="E15" s="3" t="s">
        <v>554</v>
      </c>
      <c r="F15" s="3"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3"/>
    <col collapsed="false" customWidth="true" hidden="false" outlineLevel="0" max="4" min="3" style="0" width="30"/>
    <col collapsed="false" customWidth="true" hidden="false" outlineLevel="0" max="5" min="5" style="0" width="26"/>
    <col collapsed="false" customWidth="true" hidden="false" outlineLevel="0" max="6" min="6" style="0" width="22"/>
    <col collapsed="false" customWidth="true" hidden="false" outlineLevel="0" max="7" min="7" style="0" width="20"/>
    <col collapsed="false" customWidth="true" hidden="false" outlineLevel="0" max="8" min="8" style="0" width="26"/>
    <col collapsed="false" customWidth="true" hidden="false" outlineLevel="0" max="9" min="9" style="0" width="24"/>
    <col collapsed="false" customWidth="true" hidden="false" outlineLevel="0" max="10" min="10" style="0" width="26"/>
  </cols>
  <sheetData>
    <row r="1" customFormat="false" ht="15" hidden="false" customHeight="false" outlineLevel="0" collapsed="false">
      <c r="A1" s="5" t="s">
        <v>103</v>
      </c>
      <c r="B1" s="5" t="s">
        <v>555</v>
      </c>
      <c r="C1" s="5" t="s">
        <v>556</v>
      </c>
      <c r="D1" s="5" t="s">
        <v>557</v>
      </c>
      <c r="E1" s="5" t="s">
        <v>558</v>
      </c>
      <c r="F1" s="5" t="s">
        <v>559</v>
      </c>
      <c r="G1" s="5" t="s">
        <v>560</v>
      </c>
      <c r="H1" s="5" t="s">
        <v>194</v>
      </c>
      <c r="I1" s="5" t="s">
        <v>441</v>
      </c>
      <c r="J1" s="5" t="s">
        <v>561</v>
      </c>
    </row>
    <row r="2" customFormat="false" ht="15" hidden="false" customHeight="false" outlineLevel="0" collapsed="false">
      <c r="A2" s="14" t="s">
        <v>113</v>
      </c>
      <c r="B2" s="3" t="s">
        <v>562</v>
      </c>
      <c r="C2" s="14" t="s">
        <v>563</v>
      </c>
      <c r="D2" s="3" t="s">
        <v>564</v>
      </c>
      <c r="E2" s="3" t="s">
        <v>565</v>
      </c>
      <c r="F2" s="3" t="s">
        <v>74</v>
      </c>
      <c r="G2" s="3" t="s">
        <v>74</v>
      </c>
      <c r="H2" s="3" t="s">
        <v>566</v>
      </c>
      <c r="I2" s="3" t="s">
        <v>567</v>
      </c>
      <c r="J2" s="3" t="s">
        <v>568</v>
      </c>
    </row>
    <row r="3" customFormat="false" ht="23.85" hidden="false" customHeight="false" outlineLevel="0" collapsed="false">
      <c r="A3" s="14" t="s">
        <v>129</v>
      </c>
      <c r="B3" s="3" t="s">
        <v>569</v>
      </c>
      <c r="C3" s="14" t="s">
        <v>570</v>
      </c>
      <c r="D3" s="3" t="s">
        <v>571</v>
      </c>
      <c r="E3" s="3" t="s">
        <v>572</v>
      </c>
      <c r="F3" s="3" t="s">
        <v>74</v>
      </c>
      <c r="G3" s="3" t="s">
        <v>74</v>
      </c>
      <c r="H3" s="3" t="s">
        <v>573</v>
      </c>
      <c r="I3" s="3" t="s">
        <v>574</v>
      </c>
      <c r="J3" s="3" t="s">
        <v>575</v>
      </c>
    </row>
    <row r="4" customFormat="false" ht="15" hidden="false" customHeight="false" outlineLevel="0" collapsed="false">
      <c r="A4" s="14" t="s">
        <v>210</v>
      </c>
      <c r="B4" s="3" t="s">
        <v>576</v>
      </c>
      <c r="C4" s="14" t="s">
        <v>577</v>
      </c>
      <c r="D4" s="3" t="s">
        <v>578</v>
      </c>
      <c r="E4" s="3" t="s">
        <v>579</v>
      </c>
      <c r="F4" s="3" t="s">
        <v>74</v>
      </c>
      <c r="G4" s="3" t="s">
        <v>580</v>
      </c>
      <c r="H4" s="3" t="s">
        <v>581</v>
      </c>
      <c r="I4" s="3" t="s">
        <v>582</v>
      </c>
      <c r="J4" s="3" t="s">
        <v>583</v>
      </c>
    </row>
    <row r="5" customFormat="false" ht="23.85" hidden="false" customHeight="false" outlineLevel="0" collapsed="false">
      <c r="A5" s="14" t="s">
        <v>584</v>
      </c>
      <c r="B5" s="3" t="s">
        <v>585</v>
      </c>
      <c r="C5" s="14" t="s">
        <v>586</v>
      </c>
      <c r="D5" s="3" t="s">
        <v>587</v>
      </c>
      <c r="E5" s="3" t="s">
        <v>588</v>
      </c>
      <c r="F5" s="3" t="s">
        <v>74</v>
      </c>
      <c r="G5" s="3" t="s">
        <v>589</v>
      </c>
      <c r="H5" s="3" t="s">
        <v>590</v>
      </c>
      <c r="I5" s="3" t="s">
        <v>591</v>
      </c>
      <c r="J5" s="3" t="s">
        <v>592</v>
      </c>
    </row>
    <row r="6" customFormat="false" ht="15" hidden="false" customHeight="false" outlineLevel="0" collapsed="false">
      <c r="A6" s="14" t="s">
        <v>239</v>
      </c>
      <c r="B6" s="3" t="s">
        <v>593</v>
      </c>
      <c r="C6" s="14" t="s">
        <v>594</v>
      </c>
      <c r="D6" s="3" t="s">
        <v>595</v>
      </c>
      <c r="E6" s="3" t="s">
        <v>596</v>
      </c>
      <c r="F6" s="3" t="s">
        <v>597</v>
      </c>
      <c r="G6" s="3" t="s">
        <v>598</v>
      </c>
      <c r="H6" s="3" t="s">
        <v>599</v>
      </c>
      <c r="I6" s="3" t="s">
        <v>74</v>
      </c>
      <c r="J6" s="3" t="s">
        <v>600</v>
      </c>
    </row>
    <row r="7" customFormat="false" ht="23.85" hidden="false" customHeight="false" outlineLevel="0" collapsed="false">
      <c r="A7" s="14" t="s">
        <v>279</v>
      </c>
      <c r="B7" s="3" t="s">
        <v>601</v>
      </c>
      <c r="C7" s="14" t="s">
        <v>602</v>
      </c>
      <c r="D7" s="3" t="s">
        <v>603</v>
      </c>
      <c r="E7" s="3" t="s">
        <v>604</v>
      </c>
      <c r="F7" s="3" t="s">
        <v>605</v>
      </c>
      <c r="G7" s="3" t="s">
        <v>606</v>
      </c>
      <c r="H7" s="3" t="s">
        <v>607</v>
      </c>
      <c r="I7" s="3" t="s">
        <v>74</v>
      </c>
      <c r="J7" s="3" t="s">
        <v>600</v>
      </c>
    </row>
    <row r="8" customFormat="false" ht="15" hidden="false" customHeight="false" outlineLevel="0" collapsed="false">
      <c r="A8" s="14" t="s">
        <v>301</v>
      </c>
      <c r="B8" s="3" t="s">
        <v>608</v>
      </c>
      <c r="C8" s="14" t="s">
        <v>609</v>
      </c>
      <c r="D8" s="3" t="s">
        <v>610</v>
      </c>
      <c r="E8" s="3" t="s">
        <v>611</v>
      </c>
      <c r="F8" s="3" t="s">
        <v>612</v>
      </c>
      <c r="G8" s="3" t="s">
        <v>613</v>
      </c>
      <c r="H8" s="3" t="s">
        <v>614</v>
      </c>
      <c r="I8" s="3" t="s">
        <v>74</v>
      </c>
      <c r="J8" s="3" t="s">
        <v>74</v>
      </c>
    </row>
    <row r="9" customFormat="false" ht="15" hidden="false" customHeight="false" outlineLevel="0" collapsed="false">
      <c r="A9" s="14" t="s">
        <v>316</v>
      </c>
      <c r="B9" s="3" t="s">
        <v>615</v>
      </c>
      <c r="C9" s="14" t="s">
        <v>616</v>
      </c>
      <c r="D9" s="3" t="s">
        <v>617</v>
      </c>
      <c r="E9" s="3" t="s">
        <v>618</v>
      </c>
      <c r="F9" s="3" t="s">
        <v>619</v>
      </c>
      <c r="G9" s="3" t="s">
        <v>620</v>
      </c>
      <c r="H9" s="3" t="s">
        <v>621</v>
      </c>
      <c r="I9" s="3" t="s">
        <v>74</v>
      </c>
      <c r="J9" s="3" t="s">
        <v>74</v>
      </c>
    </row>
    <row r="10" customFormat="false" ht="23.85" hidden="false" customHeight="false" outlineLevel="0" collapsed="false">
      <c r="A10" s="14" t="s">
        <v>323</v>
      </c>
      <c r="B10" s="3" t="s">
        <v>622</v>
      </c>
      <c r="C10" s="14" t="s">
        <v>623</v>
      </c>
      <c r="D10" s="3" t="s">
        <v>624</v>
      </c>
      <c r="E10" s="3" t="s">
        <v>625</v>
      </c>
      <c r="F10" s="3" t="s">
        <v>626</v>
      </c>
      <c r="G10" s="3" t="s">
        <v>627</v>
      </c>
      <c r="H10" s="3" t="s">
        <v>628</v>
      </c>
      <c r="I10" s="3" t="s">
        <v>629</v>
      </c>
      <c r="J10" s="3" t="s">
        <v>74</v>
      </c>
    </row>
    <row r="11" customFormat="false" ht="23.85" hidden="false" customHeight="false" outlineLevel="0" collapsed="false">
      <c r="A11" s="14" t="s">
        <v>360</v>
      </c>
      <c r="B11" s="3" t="s">
        <v>630</v>
      </c>
      <c r="C11" s="14" t="s">
        <v>631</v>
      </c>
      <c r="D11" s="3" t="s">
        <v>632</v>
      </c>
      <c r="E11" s="3" t="s">
        <v>633</v>
      </c>
      <c r="F11" s="3" t="s">
        <v>74</v>
      </c>
      <c r="G11" s="3" t="s">
        <v>634</v>
      </c>
      <c r="H11" s="3" t="s">
        <v>628</v>
      </c>
      <c r="I11" s="3" t="s">
        <v>635</v>
      </c>
      <c r="J11" s="3" t="s">
        <v>636</v>
      </c>
    </row>
    <row r="12" customFormat="false" ht="15" hidden="false" customHeight="false" outlineLevel="0" collapsed="false">
      <c r="A12" s="14" t="s">
        <v>392</v>
      </c>
      <c r="B12" s="3" t="s">
        <v>637</v>
      </c>
      <c r="C12" s="14" t="s">
        <v>638</v>
      </c>
      <c r="D12" s="3" t="s">
        <v>639</v>
      </c>
      <c r="E12" s="3" t="s">
        <v>640</v>
      </c>
      <c r="F12" s="3" t="s">
        <v>74</v>
      </c>
      <c r="G12" s="3" t="s">
        <v>641</v>
      </c>
      <c r="H12" s="3" t="s">
        <v>74</v>
      </c>
      <c r="I12" s="3" t="s">
        <v>642</v>
      </c>
      <c r="J12" s="3" t="s">
        <v>74</v>
      </c>
    </row>
    <row r="13" customFormat="false" ht="23.85" hidden="false" customHeight="false" outlineLevel="0" collapsed="false">
      <c r="A13" s="14" t="s">
        <v>426</v>
      </c>
      <c r="B13" s="3" t="s">
        <v>643</v>
      </c>
      <c r="C13" s="14" t="s">
        <v>644</v>
      </c>
      <c r="D13" s="3" t="s">
        <v>645</v>
      </c>
      <c r="E13" s="3" t="s">
        <v>646</v>
      </c>
      <c r="F13" s="3" t="s">
        <v>74</v>
      </c>
      <c r="G13" s="3" t="s">
        <v>647</v>
      </c>
      <c r="H13" s="3" t="s">
        <v>74</v>
      </c>
      <c r="I13" s="3" t="s">
        <v>648</v>
      </c>
      <c r="J13" s="3" t="s">
        <v>649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2026-09-29T07:12:41Z</dcterms:created>
  <dc:creator>openpyxl</dc:creator>
  <dc:description/>
  <dc:language>en-US</dc:language>
  <cp:lastModifiedBy/>
  <dcterms:modified xsi:type="dcterms:W3CDTF">2026-09-29T07:12:41Z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